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F2277800-7505-4705-8369-2E492C0A0B97}" xr6:coauthVersionLast="47" xr6:coauthVersionMax="47" xr10:uidLastSave="{00000000-0000-0000-0000-000000000000}"/>
  <bookViews>
    <workbookView xWindow="-108" yWindow="-108" windowWidth="23256" windowHeight="12456" tabRatio="943" activeTab="4" xr2:uid="{00000000-000D-0000-FFFF-FFFF00000000}"/>
  </bookViews>
  <sheets>
    <sheet name="Purchases" sheetId="1" r:id="rId1"/>
    <sheet name="Purchase Register" sheetId="10" r:id="rId2"/>
    <sheet name="Price History" sheetId="9" r:id="rId3"/>
    <sheet name="Payments" sheetId="7" r:id="rId4"/>
    <sheet name="Suppliers" sheetId="3" r:id="rId5"/>
    <sheet name="Projects" sheetId="5" r:id="rId6"/>
    <sheet name="Items" sheetId="4" r:id="rId7"/>
    <sheet name="Customers" sheetId="6" r:id="rId8"/>
    <sheet name="Dashboard" sheetId="2" r:id="rId9"/>
    <sheet name="Settings" sheetId="8" r:id="rId10"/>
    <sheet name="Purchase Requests" sheetId="11" r:id="rId11"/>
    <sheet name="Purchase Requests Register" sheetId="12" r:id="rId12"/>
  </sheets>
  <definedNames>
    <definedName name="_xlpm.x" hidden="1" xlm="1">#NAME?</definedName>
    <definedName name="lst_Currency">tblCurrencies[Currency]</definedName>
    <definedName name="lst_CustomerNames">tblCustomers[اسم العميل]</definedName>
    <definedName name="lst_DeliveryStatus">tblDeliveryStatus[Delivery Status]</definedName>
    <definedName name="lst_Governorates">tblGovernorates[Governorates]</definedName>
    <definedName name="lst_PaymentMethod">tblPaymentMethods[PaymentMethods]</definedName>
    <definedName name="lst_Priority">tblPriority[Priority]</definedName>
    <definedName name="lst_ProjectStatus">tblProjectStatus[Project Status]</definedName>
    <definedName name="lst_PurchaseStatus">tblPurchaseStatus[Purchase Status]</definedName>
    <definedName name="lst_PurchaseType">tblPurchaseType[Purchase Type]</definedName>
    <definedName name="lst_RecordStatus">tblRecordStatus[حالة السجل]</definedName>
    <definedName name="lst_SupplierCategory">tblSupplierCategories[Supplier Category]</definedName>
    <definedName name="lst_SupplierNames">tblSuppliers[اسم المورد]</definedName>
    <definedName name="lst_Units">tblUnits[Units]</definedName>
    <definedName name="lst_VAT">tblVATRates[VAT]</definedName>
    <definedName name="PaymentMethods" comment="=Settings!$G$2:$G$7">Settings!$E$8</definedName>
    <definedName name="_xlnm.Print_Area" localSheetId="7">Customers!$A$1:$K$15</definedName>
    <definedName name="_xlnm.Print_Area" localSheetId="6">Items!$A$1:$L$27</definedName>
    <definedName name="_xlnm.Print_Area" localSheetId="2">tblPriceHistory[#All]</definedName>
    <definedName name="_xlnm.Print_Area" localSheetId="5">Projects!$A$1:$L$15</definedName>
    <definedName name="_xlnm.Print_Area" localSheetId="0">Purchases!$A$1:$P$62</definedName>
    <definedName name="_xlnm.Print_Area" localSheetId="4">Suppliers!$A$1:$O$60</definedName>
    <definedName name="PurchaseIDs">tblPurchaseRegister[رقم العملية]</definedName>
  </definedNames>
  <calcPr calcId="191029"/>
  <pivotCaches>
    <pivotCache cacheId="0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1" i="9" l="1"/>
  <c r="A32" i="9"/>
  <c r="A33" i="9"/>
  <c r="A34" i="9"/>
  <c r="A35" i="9"/>
  <c r="A4" i="2"/>
  <c r="C50" i="1"/>
  <c r="G10" i="2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H4" i="4"/>
  <c r="H3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G3" i="4" a="1"/>
  <c r="G3" i="4" s="1"/>
  <c r="G4" i="4" a="1"/>
  <c r="G4" i="4" s="1"/>
  <c r="G5" i="4" a="1"/>
  <c r="G5" i="4" s="1"/>
  <c r="G6" i="4" a="1"/>
  <c r="G6" i="4" s="1"/>
  <c r="G7" i="4" a="1"/>
  <c r="G7" i="4" s="1"/>
  <c r="G8" i="4" a="1"/>
  <c r="G8" i="4" s="1"/>
  <c r="G9" i="4" a="1"/>
  <c r="G9" i="4" s="1"/>
  <c r="G10" i="4" a="1"/>
  <c r="G10" i="4" s="1"/>
  <c r="G11" i="4" a="1"/>
  <c r="G11" i="4" s="1"/>
  <c r="G12" i="4" a="1"/>
  <c r="G12" i="4" s="1"/>
  <c r="G13" i="4" a="1"/>
  <c r="G13" i="4" s="1"/>
  <c r="G14" i="4" a="1"/>
  <c r="G14" i="4" s="1"/>
  <c r="G15" i="4" a="1"/>
  <c r="G15" i="4" s="1"/>
  <c r="G16" i="4" a="1"/>
  <c r="G16" i="4" s="1"/>
  <c r="G17" i="4" a="1"/>
  <c r="G17" i="4" s="1"/>
  <c r="G18" i="4" a="1"/>
  <c r="G18" i="4" s="1"/>
  <c r="G19" i="4" a="1"/>
  <c r="G19" i="4" s="1"/>
  <c r="G20" i="4" a="1"/>
  <c r="G20" i="4" s="1"/>
  <c r="G21" i="4" a="1"/>
  <c r="G21" i="4" s="1"/>
  <c r="G22" i="4" a="1"/>
  <c r="G22" i="4" s="1"/>
  <c r="G23" i="4" a="1"/>
  <c r="G23" i="4" s="1"/>
  <c r="G24" i="4" a="1"/>
  <c r="G24" i="4" s="1"/>
  <c r="G25" i="4" a="1"/>
  <c r="G25" i="4" s="1"/>
  <c r="G26" i="4" a="1"/>
  <c r="G26" i="4" s="1"/>
  <c r="G27" i="4" a="1"/>
  <c r="G27" i="4" s="1"/>
  <c r="A10" i="2"/>
  <c r="L4" i="2"/>
  <c r="G4" i="2"/>
  <c r="Q4" i="2"/>
  <c r="Q10" i="2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F2" i="7"/>
  <c r="H2" i="7" s="1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E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D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A22" i="7" a="1"/>
  <c r="A22" i="7" s="1"/>
  <c r="A23" i="7" a="1"/>
  <c r="A23" i="7" s="1"/>
  <c r="A24" i="7" a="1"/>
  <c r="A24" i="7" s="1"/>
  <c r="A25" i="7" a="1"/>
  <c r="A25" i="7" s="1"/>
  <c r="A26" i="7" a="1"/>
  <c r="A26" i="7" s="1"/>
  <c r="A27" i="7" a="1"/>
  <c r="A27" i="7" s="1"/>
  <c r="A28" i="7" a="1"/>
  <c r="A28" i="7" s="1"/>
  <c r="A29" i="7" a="1"/>
  <c r="A29" i="7" s="1"/>
  <c r="A30" i="7" a="1"/>
  <c r="A30" i="7" s="1"/>
  <c r="A31" i="7" a="1"/>
  <c r="A31" i="7" s="1"/>
  <c r="A32" i="7" a="1"/>
  <c r="A32" i="7" s="1"/>
  <c r="A33" i="7" a="1"/>
  <c r="A33" i="7" s="1"/>
  <c r="A34" i="7" a="1"/>
  <c r="A34" i="7" s="1"/>
  <c r="A35" i="7" a="1"/>
  <c r="A35" i="7" s="1"/>
  <c r="A36" i="7" a="1"/>
  <c r="A36" i="7" s="1"/>
  <c r="A37" i="7" a="1"/>
  <c r="A37" i="7" s="1"/>
  <c r="A38" i="7" a="1"/>
  <c r="A38" i="7" s="1"/>
  <c r="A39" i="7" a="1"/>
  <c r="A39" i="7" s="1"/>
  <c r="A40" i="7" a="1"/>
  <c r="A40" i="7" s="1"/>
  <c r="A41" i="7" a="1"/>
  <c r="A41" i="7" s="1"/>
  <c r="A42" i="7" a="1"/>
  <c r="A42" i="7" s="1"/>
  <c r="A43" i="7" a="1"/>
  <c r="A43" i="7" s="1"/>
  <c r="A44" i="7" a="1"/>
  <c r="A44" i="7" s="1"/>
  <c r="A45" i="7" a="1"/>
  <c r="A45" i="7" s="1"/>
  <c r="A46" i="7" a="1"/>
  <c r="A46" i="7" s="1"/>
  <c r="A47" i="7" a="1"/>
  <c r="A47" i="7" s="1"/>
  <c r="A48" i="7" a="1"/>
  <c r="A48" i="7" s="1"/>
  <c r="A49" i="7" a="1"/>
  <c r="A49" i="7" s="1"/>
  <c r="A50" i="7" a="1"/>
  <c r="A50" i="7" s="1"/>
  <c r="A51" i="7" a="1"/>
  <c r="A51" i="7" s="1"/>
  <c r="A52" i="7" a="1"/>
  <c r="A52" i="7" s="1"/>
  <c r="A53" i="7" a="1"/>
  <c r="A53" i="7" s="1"/>
  <c r="A54" i="7" a="1"/>
  <c r="A54" i="7" s="1"/>
  <c r="A55" i="7" a="1"/>
  <c r="A55" i="7" s="1"/>
  <c r="A56" i="7" a="1"/>
  <c r="A56" i="7" s="1"/>
  <c r="A57" i="7" a="1"/>
  <c r="A57" i="7" s="1"/>
  <c r="A58" i="7" a="1"/>
  <c r="A58" i="7" s="1"/>
  <c r="A59" i="7" a="1"/>
  <c r="A59" i="7" s="1"/>
  <c r="A60" i="7" a="1"/>
  <c r="A60" i="7" s="1"/>
  <c r="A61" i="7" a="1"/>
  <c r="A61" i="7" s="1"/>
  <c r="A62" i="7" a="1"/>
  <c r="A62" i="7" s="1"/>
  <c r="A63" i="7" a="1"/>
  <c r="A63" i="7" s="1"/>
  <c r="A64" i="7" a="1"/>
  <c r="A64" i="7" s="1"/>
  <c r="A65" i="7" a="1"/>
  <c r="A65" i="7" s="1"/>
  <c r="A66" i="7" a="1"/>
  <c r="A66" i="7" s="1"/>
  <c r="A67" i="7" a="1"/>
  <c r="A67" i="7" s="1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3" i="4"/>
  <c r="F27" i="4" a="1"/>
  <c r="F27" i="4" s="1"/>
  <c r="F26" i="4" a="1"/>
  <c r="F26" i="4" s="1"/>
  <c r="F25" i="4" a="1"/>
  <c r="F25" i="4" s="1"/>
  <c r="F24" i="4" a="1"/>
  <c r="F24" i="4" s="1"/>
  <c r="F23" i="4" a="1"/>
  <c r="F23" i="4" s="1"/>
  <c r="F22" i="4" a="1"/>
  <c r="F22" i="4" s="1"/>
  <c r="F21" i="4" a="1"/>
  <c r="F21" i="4" s="1"/>
  <c r="F20" i="4" a="1"/>
  <c r="F20" i="4" s="1"/>
  <c r="F19" i="4" a="1"/>
  <c r="F19" i="4" s="1"/>
  <c r="F18" i="4" a="1"/>
  <c r="F18" i="4" s="1"/>
  <c r="F17" i="4" a="1"/>
  <c r="F17" i="4" s="1"/>
  <c r="F16" i="4" a="1"/>
  <c r="F16" i="4" s="1"/>
  <c r="F15" i="4" a="1"/>
  <c r="F15" i="4" s="1"/>
  <c r="F14" i="4" a="1"/>
  <c r="F14" i="4" s="1"/>
  <c r="F13" i="4" a="1"/>
  <c r="F13" i="4" s="1"/>
  <c r="F12" i="4" a="1"/>
  <c r="F12" i="4" s="1"/>
  <c r="F11" i="4" a="1"/>
  <c r="F11" i="4" s="1"/>
  <c r="F10" i="4" a="1"/>
  <c r="F10" i="4" s="1"/>
  <c r="F9" i="4" a="1"/>
  <c r="F9" i="4" s="1"/>
  <c r="F8" i="4" a="1"/>
  <c r="F8" i="4" s="1"/>
  <c r="F7" i="4" a="1"/>
  <c r="F7" i="4" s="1"/>
  <c r="F6" i="4" a="1"/>
  <c r="F6" i="4" s="1"/>
  <c r="F5" i="4" a="1"/>
  <c r="F5" i="4" s="1"/>
  <c r="F4" i="4" a="1"/>
  <c r="F4" i="4" s="1"/>
  <c r="F3" i="4" a="1"/>
  <c r="F3" i="4" s="1"/>
  <c r="B62" i="1"/>
  <c r="C62" i="1"/>
  <c r="H62" i="1"/>
  <c r="H58" i="1"/>
  <c r="H59" i="1"/>
  <c r="H60" i="1"/>
  <c r="H61" i="1"/>
  <c r="L40" i="1"/>
  <c r="G40" i="1"/>
  <c r="B40" i="1"/>
  <c r="L38" i="1"/>
  <c r="G38" i="1"/>
  <c r="G20" i="1"/>
  <c r="B32" i="1"/>
  <c r="G32" i="1"/>
  <c r="L32" i="1"/>
  <c r="L30" i="1"/>
  <c r="G30" i="1"/>
  <c r="G24" i="1"/>
  <c r="B24" i="1"/>
  <c r="B22" i="1"/>
  <c r="G22" i="1"/>
  <c r="L24" i="1"/>
  <c r="L22" i="1"/>
  <c r="L20" i="1"/>
  <c r="B48" i="1"/>
  <c r="C48" i="1"/>
  <c r="B49" i="1"/>
  <c r="C49" i="1"/>
  <c r="B50" i="1"/>
  <c r="B51" i="1"/>
  <c r="C51" i="1"/>
  <c r="B52" i="1"/>
  <c r="C52" i="1"/>
  <c r="B53" i="1"/>
  <c r="C53" i="1"/>
  <c r="H53" i="1"/>
  <c r="B54" i="1"/>
  <c r="C54" i="1"/>
  <c r="H54" i="1"/>
  <c r="B55" i="1"/>
  <c r="C55" i="1"/>
  <c r="H55" i="1"/>
  <c r="B56" i="1"/>
  <c r="C56" i="1"/>
  <c r="H56" i="1"/>
  <c r="B57" i="1"/>
  <c r="C57" i="1"/>
  <c r="H57" i="1"/>
  <c r="J2" i="7" l="1"/>
  <c r="H52" i="1"/>
  <c r="L10" i="2"/>
  <c r="M47" i="1"/>
  <c r="H51" i="1" l="1"/>
  <c r="H50" i="1" l="1"/>
  <c r="H49" i="1" l="1"/>
  <c r="H48" i="1" l="1"/>
  <c r="M48" i="1"/>
  <c r="M49" i="1" s="1"/>
  <c r="M50" i="1" l="1"/>
  <c r="M5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<sst xmlns="http://schemas.openxmlformats.org/spreadsheetml/2006/main" count="617" uniqueCount="372">
  <si>
    <t>RE DECOR &amp; MORE
Procurement ERP System
Purchases Management</t>
  </si>
  <si>
    <t>Purchase Information</t>
  </si>
  <si>
    <t>رقم أمر الشراء *</t>
  </si>
  <si>
    <t>تاريخ الشراء *</t>
  </si>
  <si>
    <t>نوع الشراء</t>
  </si>
  <si>
    <t>حالة الطلب</t>
  </si>
  <si>
    <t>العملة</t>
  </si>
  <si>
    <t>أنشأ بواسطة</t>
  </si>
  <si>
    <t>رقم الفاتورة</t>
  </si>
  <si>
    <t>تاريخ الفاتورة</t>
  </si>
  <si>
    <t>حالة الاعتماد</t>
  </si>
  <si>
    <t>Supplier Information | بيانات المورد</t>
  </si>
  <si>
    <t>اسم المورد *</t>
  </si>
  <si>
    <t>كود المورد</t>
  </si>
  <si>
    <t>مسؤول التواصل</t>
  </si>
  <si>
    <t>رقم الهاتف</t>
  </si>
  <si>
    <t>البريد الإلكتروني</t>
  </si>
  <si>
    <t>شروط الدفع</t>
  </si>
  <si>
    <t>تقييم المورد</t>
  </si>
  <si>
    <t>Project Information | بيانات المشروع</t>
  </si>
  <si>
    <t>اسم المشروع</t>
  </si>
  <si>
    <t>كود المشروع</t>
  </si>
  <si>
    <t>المهندس المسؤول</t>
  </si>
  <si>
    <t>Customer Information | بيانات العميل</t>
  </si>
  <si>
    <t>اسم العميل</t>
  </si>
  <si>
    <t>كود العميل</t>
  </si>
  <si>
    <t>عنوان التسليم</t>
  </si>
  <si>
    <t>المدينة</t>
  </si>
  <si>
    <t>المحافظة</t>
  </si>
  <si>
    <t>Item Details | تفاصيل الأصناف</t>
  </si>
  <si>
    <t xml:space="preserve">   Financial Summary     </t>
  </si>
  <si>
    <t>الصنف</t>
  </si>
  <si>
    <t>الكود</t>
  </si>
  <si>
    <t>الوحدة</t>
  </si>
  <si>
    <t>الكمية</t>
  </si>
  <si>
    <t>سعر الوحدة</t>
  </si>
  <si>
    <t>الخصم %</t>
  </si>
  <si>
    <t>الضريبة %</t>
  </si>
  <si>
    <t>الإجمالي</t>
  </si>
  <si>
    <t>الموردون</t>
  </si>
  <si>
    <t>التخصص</t>
  </si>
  <si>
    <t>العنوان</t>
  </si>
  <si>
    <t>واتساب</t>
  </si>
  <si>
    <t>مدة التوريد بالأيام</t>
  </si>
  <si>
    <t>الحالة</t>
  </si>
  <si>
    <t>ملاحظات</t>
  </si>
  <si>
    <t>الأصناف</t>
  </si>
  <si>
    <t>كود الصنف</t>
  </si>
  <si>
    <t>اسم الصنف</t>
  </si>
  <si>
    <t>التصنيف</t>
  </si>
  <si>
    <t>المواصفات</t>
  </si>
  <si>
    <t>المورد المفضل</t>
  </si>
  <si>
    <t>آخر سعر شراء</t>
  </si>
  <si>
    <t>المشروعات</t>
  </si>
  <si>
    <t>العميل</t>
  </si>
  <si>
    <t>تاريخ البدء</t>
  </si>
  <si>
    <t>تاريخ الانتهاء المتوقع</t>
  </si>
  <si>
    <t>الميزانية</t>
  </si>
  <si>
    <t>حالة المشروع</t>
  </si>
  <si>
    <t>العملاء</t>
  </si>
  <si>
    <t>Purchase Status</t>
  </si>
  <si>
    <t>Purchase Type</t>
  </si>
  <si>
    <t>Currency</t>
  </si>
  <si>
    <t>VAT</t>
  </si>
  <si>
    <t>Units</t>
  </si>
  <si>
    <t>Supplier Category</t>
  </si>
  <si>
    <t>Project Status</t>
  </si>
  <si>
    <t>Delivery Status</t>
  </si>
  <si>
    <t>Priority</t>
  </si>
  <si>
    <t>Governorates</t>
  </si>
  <si>
    <t>حالة السجل</t>
  </si>
  <si>
    <t>Pending</t>
  </si>
  <si>
    <t>EGP</t>
  </si>
  <si>
    <t>Low</t>
  </si>
  <si>
    <t>Cairo</t>
  </si>
  <si>
    <t>نشط</t>
  </si>
  <si>
    <t>Partial</t>
  </si>
  <si>
    <t>Medium</t>
  </si>
  <si>
    <t>Giza</t>
  </si>
  <si>
    <t>غير نشط</t>
  </si>
  <si>
    <t>Delivered</t>
  </si>
  <si>
    <t>High</t>
  </si>
  <si>
    <t>Alexandria</t>
  </si>
  <si>
    <t>Returned</t>
  </si>
  <si>
    <t>Urgent</t>
  </si>
  <si>
    <t>Cancelled</t>
  </si>
  <si>
    <t>Box</t>
  </si>
  <si>
    <t>Contractor</t>
  </si>
  <si>
    <t>Bag</t>
  </si>
  <si>
    <t>Service Provider</t>
  </si>
  <si>
    <t>Roll</t>
  </si>
  <si>
    <t>Set</t>
  </si>
  <si>
    <t>سيكا</t>
  </si>
  <si>
    <t>اسم المورد</t>
  </si>
  <si>
    <t>01096578343</t>
  </si>
  <si>
    <t>المحافظه</t>
  </si>
  <si>
    <t xml:space="preserve">رقم الهاتف </t>
  </si>
  <si>
    <t>محلي</t>
  </si>
  <si>
    <t>ITM001</t>
  </si>
  <si>
    <t>ITM002</t>
  </si>
  <si>
    <t>ITM003</t>
  </si>
  <si>
    <t>ITM004</t>
  </si>
  <si>
    <t>ITM005</t>
  </si>
  <si>
    <t>ITM006</t>
  </si>
  <si>
    <t>ITM007</t>
  </si>
  <si>
    <t>ITM008</t>
  </si>
  <si>
    <t>ITM009</t>
  </si>
  <si>
    <t>ITM010</t>
  </si>
  <si>
    <t>أسمنت السويدي</t>
  </si>
  <si>
    <t>جبس</t>
  </si>
  <si>
    <t>رمل</t>
  </si>
  <si>
    <t>سن</t>
  </si>
  <si>
    <t>سيراميك</t>
  </si>
  <si>
    <t>بورسلين</t>
  </si>
  <si>
    <t>سلك كهرباء</t>
  </si>
  <si>
    <t>مواسير PVC</t>
  </si>
  <si>
    <t>سيكا جراوت</t>
  </si>
  <si>
    <t>سيليكون</t>
  </si>
  <si>
    <t>مواد بناء</t>
  </si>
  <si>
    <t>تشطيبات</t>
  </si>
  <si>
    <t>كهرباء</t>
  </si>
  <si>
    <t>سباكة</t>
  </si>
  <si>
    <t>كيماويات</t>
  </si>
  <si>
    <t>إكسسوارات</t>
  </si>
  <si>
    <t>شكارة</t>
  </si>
  <si>
    <t>م³</t>
  </si>
  <si>
    <t>م²</t>
  </si>
  <si>
    <t>متر</t>
  </si>
  <si>
    <t>كجم</t>
  </si>
  <si>
    <t>عبوة</t>
  </si>
  <si>
    <t>قيمة الضريبة</t>
  </si>
  <si>
    <t>الإجمالي النهائي</t>
  </si>
  <si>
    <t>الإجمالي قبل الخصم</t>
  </si>
  <si>
    <t xml:space="preserve">قيمة الخصم     </t>
  </si>
  <si>
    <t xml:space="preserve">الإجمالي بعد الخصم       </t>
  </si>
  <si>
    <t>تكلفة الشحن</t>
  </si>
  <si>
    <t>مصاريف أخرى</t>
  </si>
  <si>
    <t>رقم السجل</t>
  </si>
  <si>
    <t>التاريخ</t>
  </si>
  <si>
    <t>رقم أمر الشراء</t>
  </si>
  <si>
    <t>المورد</t>
  </si>
  <si>
    <t>المشروع</t>
  </si>
  <si>
    <t>الخصم</t>
  </si>
  <si>
    <t>الضريبة</t>
  </si>
  <si>
    <t>السعر النهائي</t>
  </si>
  <si>
    <t>الموظف</t>
  </si>
  <si>
    <t xml:space="preserve">رقم الدفعة </t>
  </si>
  <si>
    <t>تاريخ الدفع</t>
  </si>
  <si>
    <t xml:space="preserve">رقم الفاتورة </t>
  </si>
  <si>
    <t xml:space="preserve"> المورد</t>
  </si>
  <si>
    <t>طريقة الدفع</t>
  </si>
  <si>
    <t>رقم العملية</t>
  </si>
  <si>
    <t>تاريخ الشراء</t>
  </si>
  <si>
    <t>إجمالي الفاتورة</t>
  </si>
  <si>
    <t>حالة الدفع</t>
  </si>
  <si>
    <t>1ش شهاب</t>
  </si>
  <si>
    <t>معتمد</t>
  </si>
  <si>
    <t>مصطفي</t>
  </si>
  <si>
    <t>القاهره</t>
  </si>
  <si>
    <t>الجيزه</t>
  </si>
  <si>
    <t>mostafa.mahmoud1822002@gmail.com</t>
  </si>
  <si>
    <t>prj-001</t>
  </si>
  <si>
    <t>الحواميديه</t>
  </si>
  <si>
    <t>حسين أيوب</t>
  </si>
  <si>
    <t>18ش الحواميديه</t>
  </si>
  <si>
    <t>احمد عصام</t>
  </si>
  <si>
    <t>قيد التطوير</t>
  </si>
  <si>
    <t>CUS-001</t>
  </si>
  <si>
    <t>أ\احمد ايوب</t>
  </si>
  <si>
    <t>الحواميدي</t>
  </si>
  <si>
    <t>21ش القصر العيني</t>
  </si>
  <si>
    <t>PUR-000001</t>
  </si>
  <si>
    <t>آخر تاريخ شراء</t>
  </si>
  <si>
    <t>عدد مرات الشراء</t>
  </si>
  <si>
    <t>إجمالي الكمية</t>
  </si>
  <si>
    <t>إجمالي قيمة الشراء</t>
  </si>
  <si>
    <t>المبلغ المدفوع</t>
  </si>
  <si>
    <t>المتبقي</t>
  </si>
  <si>
    <t>PaymentMethods</t>
  </si>
  <si>
    <t>نقدي</t>
  </si>
  <si>
    <t>انستا باي</t>
  </si>
  <si>
    <t>(blank)</t>
  </si>
  <si>
    <t>Grand Total</t>
  </si>
  <si>
    <t>Sum of إجمالي الفاتورة</t>
  </si>
  <si>
    <t>أفضل الموردين</t>
  </si>
  <si>
    <t xml:space="preserve">موردين الدهانات </t>
  </si>
  <si>
    <t>موردين الكهرباء</t>
  </si>
  <si>
    <t xml:space="preserve">موردين السباكه </t>
  </si>
  <si>
    <t xml:space="preserve">موردين سيكا مصر و كيماويات البناء الحديث </t>
  </si>
  <si>
    <t>وائل</t>
  </si>
  <si>
    <t xml:space="preserve">دهانات </t>
  </si>
  <si>
    <t>1ش الحواميديه</t>
  </si>
  <si>
    <t>مصطفي,محمود</t>
  </si>
  <si>
    <t>01119577776</t>
  </si>
  <si>
    <t>into@gmail.com</t>
  </si>
  <si>
    <t>علي شديد</t>
  </si>
  <si>
    <t>01126233084</t>
  </si>
  <si>
    <t>اسلام جوتن</t>
  </si>
  <si>
    <t>دهانات jotun</t>
  </si>
  <si>
    <t>شركه جوتن</t>
  </si>
  <si>
    <t>01204448962</t>
  </si>
  <si>
    <t>احمد جوتن</t>
  </si>
  <si>
    <t>بولاق الدكرور</t>
  </si>
  <si>
    <t>18ش بولاق</t>
  </si>
  <si>
    <t>01144025626</t>
  </si>
  <si>
    <t>محمد رجب</t>
  </si>
  <si>
    <t>01273523336</t>
  </si>
  <si>
    <t>رمضان الجزار</t>
  </si>
  <si>
    <t>ادوات كهربيه</t>
  </si>
  <si>
    <t>01100933754</t>
  </si>
  <si>
    <t>احمد سيكا</t>
  </si>
  <si>
    <t>شركه sika</t>
  </si>
  <si>
    <t>الحيزه</t>
  </si>
  <si>
    <t>رمسيس اوا المعادي</t>
  </si>
  <si>
    <t>توصيل</t>
  </si>
  <si>
    <t>01211300032</t>
  </si>
  <si>
    <t>احمد لاشين</t>
  </si>
  <si>
    <t>CMB</t>
  </si>
  <si>
    <t>فيصل</t>
  </si>
  <si>
    <t>01033195335</t>
  </si>
  <si>
    <t>موردين اثاث ومفروشات</t>
  </si>
  <si>
    <t>FOR BED</t>
  </si>
  <si>
    <t>مراتب</t>
  </si>
  <si>
    <t>المهندسين</t>
  </si>
  <si>
    <t>54ش شهاب</t>
  </si>
  <si>
    <t>389 فيصل الجيزه</t>
  </si>
  <si>
    <t>01060218269</t>
  </si>
  <si>
    <t>WWW.Forbed.com</t>
  </si>
  <si>
    <t xml:space="preserve">الكاميرا ومستلزماتها </t>
  </si>
  <si>
    <t>محمد عبدالمطلب</t>
  </si>
  <si>
    <t>مسلتزمات كمبيوتر</t>
  </si>
  <si>
    <t>وسط البلد</t>
  </si>
  <si>
    <t>مول البوستان الدور الارضي</t>
  </si>
  <si>
    <t>01007879797</t>
  </si>
  <si>
    <t xml:space="preserve">مصطفي </t>
  </si>
  <si>
    <t>كاميرا ومستلزماتها</t>
  </si>
  <si>
    <t>المطبعه فيصل</t>
  </si>
  <si>
    <t>01099759539</t>
  </si>
  <si>
    <t>كرلس</t>
  </si>
  <si>
    <t xml:space="preserve">أدوات كهرباء </t>
  </si>
  <si>
    <t>العتبه</t>
  </si>
  <si>
    <t xml:space="preserve">شارع العتبه </t>
  </si>
  <si>
    <t>01270448840</t>
  </si>
  <si>
    <t>احمد عطا</t>
  </si>
  <si>
    <t>مصر الجديده</t>
  </si>
  <si>
    <t>01205855121</t>
  </si>
  <si>
    <t>مينا</t>
  </si>
  <si>
    <t>سباكه</t>
  </si>
  <si>
    <t>1ش العتبه</t>
  </si>
  <si>
    <t>01555698414</t>
  </si>
  <si>
    <t xml:space="preserve">ياسر خطاب </t>
  </si>
  <si>
    <t xml:space="preserve"> 1ش الحواميديه</t>
  </si>
  <si>
    <t>01116430771</t>
  </si>
  <si>
    <t>سامي خالد</t>
  </si>
  <si>
    <t>النساجون الشرقيون</t>
  </si>
  <si>
    <t>جامعه الدول</t>
  </si>
  <si>
    <t>30ش جامعه الدول</t>
  </si>
  <si>
    <t>01007372067</t>
  </si>
  <si>
    <t>gmaiteldewal@orientalweavers</t>
  </si>
  <si>
    <t>احمد</t>
  </si>
  <si>
    <t>7ش البرابره</t>
  </si>
  <si>
    <t>01065484863</t>
  </si>
  <si>
    <t>01122362906</t>
  </si>
  <si>
    <t>beyot.eg</t>
  </si>
  <si>
    <t>ديكورات نجف وفازات</t>
  </si>
  <si>
    <t>ITM011</t>
  </si>
  <si>
    <t>ITM012</t>
  </si>
  <si>
    <t>ITM013</t>
  </si>
  <si>
    <t>ITM014</t>
  </si>
  <si>
    <t>ITM015</t>
  </si>
  <si>
    <t>ITM016</t>
  </si>
  <si>
    <t>ITM017</t>
  </si>
  <si>
    <t>ITM018</t>
  </si>
  <si>
    <t>ITM019</t>
  </si>
  <si>
    <t>ITM020</t>
  </si>
  <si>
    <t xml:space="preserve">كومباكت </t>
  </si>
  <si>
    <t>اثاث ومفروشات</t>
  </si>
  <si>
    <t>مرتبه 140*200</t>
  </si>
  <si>
    <t>كومباكت (25سم)</t>
  </si>
  <si>
    <t>190*200</t>
  </si>
  <si>
    <t>مخده 140سم</t>
  </si>
  <si>
    <t>مخده بولز190</t>
  </si>
  <si>
    <t>مخد بولز 140</t>
  </si>
  <si>
    <t>مخده 190 سم</t>
  </si>
  <si>
    <t>مخده فلافي</t>
  </si>
  <si>
    <t>سم</t>
  </si>
  <si>
    <t>مخده صغيره</t>
  </si>
  <si>
    <t>prj-002</t>
  </si>
  <si>
    <t>prj-003</t>
  </si>
  <si>
    <t>prj-004</t>
  </si>
  <si>
    <t>prj-005</t>
  </si>
  <si>
    <t>prj-006</t>
  </si>
  <si>
    <t>prj-007</t>
  </si>
  <si>
    <t>prj-008</t>
  </si>
  <si>
    <t>prj-009</t>
  </si>
  <si>
    <t>prj-010</t>
  </si>
  <si>
    <t>prj-011</t>
  </si>
  <si>
    <t>prj-012</t>
  </si>
  <si>
    <t>prj-013</t>
  </si>
  <si>
    <t>شقه المهندسين</t>
  </si>
  <si>
    <t>شركه ريدكور</t>
  </si>
  <si>
    <t>15ش سوريا المهندسين</t>
  </si>
  <si>
    <t>احمد حسين</t>
  </si>
  <si>
    <t>N\A</t>
  </si>
  <si>
    <t>CUS-002</t>
  </si>
  <si>
    <t>CUS-003</t>
  </si>
  <si>
    <t>CUS-004</t>
  </si>
  <si>
    <t>CUS-005</t>
  </si>
  <si>
    <t>CUS-006</t>
  </si>
  <si>
    <t>CUS-007</t>
  </si>
  <si>
    <t>CUS-008</t>
  </si>
  <si>
    <t>CUS-009</t>
  </si>
  <si>
    <t>CUS-010</t>
  </si>
  <si>
    <t>CUS-011</t>
  </si>
  <si>
    <t>CUS-012</t>
  </si>
  <si>
    <t>CUS-013</t>
  </si>
  <si>
    <t>mostafa.mahmud182@icloud.com</t>
  </si>
  <si>
    <t>head office</t>
  </si>
  <si>
    <t>7/19/2026</t>
  </si>
  <si>
    <t>347</t>
  </si>
  <si>
    <t/>
  </si>
  <si>
    <t>po-0001</t>
  </si>
  <si>
    <t>مصطفي محمود</t>
  </si>
  <si>
    <t>تم الدفع</t>
  </si>
  <si>
    <t>تم التسليم</t>
  </si>
  <si>
    <t>PAY-001</t>
  </si>
  <si>
    <t>PAY-002</t>
  </si>
  <si>
    <t>PAY-003</t>
  </si>
  <si>
    <t>PAY-004</t>
  </si>
  <si>
    <t>PAY-005</t>
  </si>
  <si>
    <t>PAY-006</t>
  </si>
  <si>
    <t>PAY-007</t>
  </si>
  <si>
    <t>PAY-008</t>
  </si>
  <si>
    <t>PAY-009</t>
  </si>
  <si>
    <t>PAY-010</t>
  </si>
  <si>
    <t>PAY-011</t>
  </si>
  <si>
    <t>PAY-012</t>
  </si>
  <si>
    <t>PAY-013</t>
  </si>
  <si>
    <t>PAY-014</t>
  </si>
  <si>
    <t>PAY-015</t>
  </si>
  <si>
    <t>PAY-016</t>
  </si>
  <si>
    <t>PAY-017</t>
  </si>
  <si>
    <t>PAY-018</t>
  </si>
  <si>
    <t>PAY-019</t>
  </si>
  <si>
    <t>PAY-020</t>
  </si>
  <si>
    <t>فودافون كاش</t>
  </si>
  <si>
    <t>بطاقه بنكيه</t>
  </si>
  <si>
    <t>شيك</t>
  </si>
  <si>
    <t>Approved</t>
  </si>
  <si>
    <t>Rejected</t>
  </si>
  <si>
    <t>Completed</t>
  </si>
  <si>
    <t>Local</t>
  </si>
  <si>
    <t>Imported</t>
  </si>
  <si>
    <t>Cash</t>
  </si>
  <si>
    <t>Credit</t>
  </si>
  <si>
    <t>USD</t>
  </si>
  <si>
    <t>EUR</t>
  </si>
  <si>
    <t>SAR</t>
  </si>
  <si>
    <t>AED</t>
  </si>
  <si>
    <t>Piece</t>
  </si>
  <si>
    <t>Meter</t>
  </si>
  <si>
    <t>Kg</t>
  </si>
  <si>
    <t>Ton</t>
  </si>
  <si>
    <t>Liter</t>
  </si>
  <si>
    <t>Manufacturer</t>
  </si>
  <si>
    <t>Distributor</t>
  </si>
  <si>
    <t>Wholesaler</t>
  </si>
  <si>
    <t>Retailer</t>
  </si>
  <si>
    <t>Importer</t>
  </si>
  <si>
    <t>Planning</t>
  </si>
  <si>
    <t>Running</t>
  </si>
  <si>
    <t>On 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</si>
</sst>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0.0%"/>
    <numFmt numFmtId="165" formatCode="&quot;$&quot;#,##0.00"/>
    <numFmt numFmtId="166" formatCode="_([$EGP]\ * #,##0.00_);_([$EGP]\ * \(#,##0.00\);_([$EGP]\ * &quot;-&quot;??_);_(@_)"/>
    <numFmt numFmtId="167" formatCode="[$-F800]dddd\,\ mmmm\ dd\,\ yyyy"/>
    <numFmt numFmtId="168" formatCode="yyyy\-mm\-dd;@"/>
    <numFmt numFmtId="169" formatCode="[$-1010000]d/m/yyyy;@"/>
  </numFmts>
  <fonts count="30" x14ac:knownFonts="1"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6"/>
      <color rgb="FFFFFFFF"/>
      <name val="Aptos Narrow"/>
    </font>
    <font>
      <b/>
      <sz val="11"/>
      <name val="Aptos Narrow"/>
    </font>
    <font>
      <b/>
      <sz val="11"/>
      <color rgb="FFFFFFFF"/>
      <name val="Aptos Narrow"/>
    </font>
    <font>
      <sz val="11"/>
      <name val="Aptos Narrow"/>
    </font>
    <font>
      <b/>
      <sz val="11"/>
      <name val="Aptos Narrow"/>
      <family val="2"/>
    </font>
    <font>
      <sz val="11"/>
      <name val="Aptos Narrow"/>
      <family val="2"/>
    </font>
    <font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22"/>
      <color theme="1"/>
      <name val="Calibri"/>
      <family val="2"/>
    </font>
    <font>
      <b/>
      <sz val="22"/>
      <color theme="1"/>
      <name val="Calibri"/>
      <family val="2"/>
    </font>
    <font>
      <b/>
      <sz val="22"/>
      <color rgb="FF002060"/>
      <name val="Calibri"/>
      <family val="2"/>
    </font>
    <font>
      <b/>
      <sz val="22"/>
      <name val="Calibri"/>
      <family val="2"/>
    </font>
    <font>
      <sz val="22"/>
      <name val="Calibri"/>
      <family val="2"/>
    </font>
    <font>
      <sz val="16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2"/>
      <color rgb="FFFFFFFF"/>
      <name val="Aptos Narrow"/>
      <family val="2"/>
    </font>
    <font>
      <sz val="12"/>
      <color theme="1"/>
      <name val="Aptos Narrow"/>
      <family val="2"/>
      <scheme val="minor"/>
    </font>
    <font>
      <sz val="12"/>
      <name val="Aptos Narrow"/>
      <family val="2"/>
    </font>
    <font>
      <b/>
      <sz val="12"/>
      <name val="Aptos Narrow"/>
      <family val="2"/>
    </font>
    <font>
      <b/>
      <sz val="12"/>
      <color theme="1"/>
      <name val="Aptos Narrow"/>
      <family val="2"/>
      <scheme val="minor"/>
    </font>
    <font>
      <b/>
      <sz val="20"/>
      <name val="Calibri"/>
      <family val="2"/>
    </font>
    <font>
      <b/>
      <sz val="20"/>
      <color theme="1"/>
      <name val="Calibri"/>
      <family val="2"/>
    </font>
    <font>
      <b/>
      <sz val="20"/>
      <color rgb="FFFFFFFF"/>
      <name val="Calibri"/>
      <family val="2"/>
    </font>
    <font>
      <b/>
      <u/>
      <sz val="20"/>
      <color theme="10"/>
      <name val="Calibri"/>
      <family val="2"/>
    </font>
    <font>
      <b/>
      <sz val="20"/>
      <color theme="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rgb="FF002060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rgb="FFB7C6D9"/>
      </left>
      <right style="thin">
        <color rgb="FFB7C6D9"/>
      </right>
      <top style="thin">
        <color rgb="FFB7C6D9"/>
      </top>
      <bottom style="thin">
        <color rgb="FFB7C6D9"/>
      </bottom>
      <diagonal/>
    </border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</borders>
  <cellStyleXfs count="3">
    <xf numFmtId="0" fontId="0" fillId="0" borderId="0"/>
    <xf numFmtId="44" fontId="11" fillId="0" borderId="0" applyFont="0" applyFill="0" applyBorder="0" applyAlignment="0" applyProtection="0"/>
    <xf numFmtId="0" fontId="19" fillId="0" borderId="0" applyNumberFormat="0" applyFill="0" applyBorder="0" applyAlignment="0" applyProtection="0"/>
  </cellStyleXfs>
  <cellXfs count="139">
    <xf numFmtId="0" fontId="0" fillId="0" borderId="0" xfId="0"/>
    <xf numFmtId="0" fontId="0" fillId="0" borderId="0" xfId="0"/>
    <xf numFmtId="0" fontId="0" fillId="0" borderId="0" xfId="0" applyAlignment="1">
      <alignment horizontal="center" vertical="center" wrapText="1"/>
    </xf>
    <xf numFmtId="0" fontId="2" fillId="0" borderId="0" xfId="0" applyFont="1"/>
    <xf numFmtId="0" fontId="1" fillId="0" borderId="0" xfId="0" applyFont="1"/>
    <xf numFmtId="0" fontId="0" fillId="0" borderId="1" xfId="0" applyBorder="1" applyAlignment="1">
      <alignment horizontal="center" vertical="center" readingOrder="2"/>
    </xf>
    <xf numFmtId="0" fontId="4" fillId="0" borderId="1" xfId="0" applyFont="1" applyBorder="1" applyAlignment="1">
      <alignment horizontal="center" vertical="center" readingOrder="2"/>
    </xf>
    <xf numFmtId="0" fontId="1" fillId="0" borderId="0" xfId="0" applyFont="1" applyAlignment="1">
      <alignment horizontal="center" vertical="center" readingOrder="2"/>
    </xf>
    <xf numFmtId="164" fontId="1" fillId="0" borderId="0" xfId="0" applyNumberFormat="1" applyFont="1" applyAlignment="1">
      <alignment horizontal="center" vertical="center" readingOrder="2"/>
    </xf>
    <xf numFmtId="0" fontId="6" fillId="0" borderId="2" xfId="0" applyFont="1" applyBorder="1"/>
    <xf numFmtId="0" fontId="6" fillId="0" borderId="1" xfId="0" applyFont="1" applyBorder="1" applyAlignment="1" applyProtection="1">
      <alignment horizontal="center" vertical="center" readingOrder="2"/>
      <protection locked="0"/>
    </xf>
    <xf numFmtId="4" fontId="6" fillId="0" borderId="1" xfId="0" applyNumberFormat="1" applyFont="1" applyBorder="1" applyAlignment="1" applyProtection="1">
      <alignment horizontal="center" vertical="center" readingOrder="2"/>
      <protection locked="0"/>
    </xf>
    <xf numFmtId="0" fontId="5" fillId="6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readingOrder="2"/>
    </xf>
    <xf numFmtId="0" fontId="8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>
      <alignment horizontal="center"/>
    </xf>
    <xf numFmtId="0" fontId="2" fillId="0" borderId="3" xfId="0" applyFont="1" applyBorder="1"/>
    <xf numFmtId="0" fontId="2" fillId="0" borderId="3" xfId="0" applyFont="1" applyBorder="1" applyAlignment="1">
      <alignment horizontal="right" vertical="center" wrapText="1" indent="1"/>
    </xf>
    <xf numFmtId="0" fontId="2" fillId="0" borderId="3" xfId="0" applyFont="1" applyBorder="1" applyAlignment="1">
      <alignment horizontal="right" vertical="center" indent="1"/>
    </xf>
    <xf numFmtId="0" fontId="12" fillId="0" borderId="0" xfId="0" applyFont="1"/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0" fontId="13" fillId="0" borderId="0" xfId="0" applyNumberFormat="1" applyFont="1" applyAlignment="1">
      <alignment horizontal="center" vertical="center"/>
    </xf>
    <xf numFmtId="0" fontId="14" fillId="5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10" fontId="14" fillId="3" borderId="0" xfId="0" applyNumberFormat="1" applyFont="1" applyFill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3" fillId="5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 wrapText="1"/>
    </xf>
    <xf numFmtId="10" fontId="14" fillId="3" borderId="0" xfId="0" applyNumberFormat="1" applyFont="1" applyFill="1" applyAlignment="1">
      <alignment horizontal="center" vertical="center" wrapText="1"/>
    </xf>
    <xf numFmtId="10" fontId="1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10" fontId="13" fillId="0" borderId="0" xfId="0" applyNumberFormat="1" applyFont="1" applyAlignment="1">
      <alignment horizontal="center" vertical="center" wrapText="1"/>
    </xf>
    <xf numFmtId="0" fontId="13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10" fontId="14" fillId="0" borderId="0" xfId="0" applyNumberFormat="1" applyFont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 wrapText="1"/>
    </xf>
    <xf numFmtId="10" fontId="14" fillId="0" borderId="4" xfId="0" applyNumberFormat="1" applyFont="1" applyBorder="1" applyAlignment="1">
      <alignment horizontal="center" vertical="center"/>
    </xf>
    <xf numFmtId="165" fontId="14" fillId="5" borderId="4" xfId="0" applyNumberFormat="1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 readingOrder="2"/>
    </xf>
    <xf numFmtId="14" fontId="6" fillId="0" borderId="1" xfId="0" applyNumberFormat="1" applyFont="1" applyBorder="1" applyAlignment="1" applyProtection="1">
      <alignment horizontal="center" vertical="center" readingOrder="2"/>
      <protection locked="0"/>
    </xf>
    <xf numFmtId="14" fontId="6" fillId="0" borderId="2" xfId="0" applyNumberFormat="1" applyFont="1" applyBorder="1"/>
    <xf numFmtId="14" fontId="0" fillId="0" borderId="0" xfId="0" applyNumberFormat="1"/>
    <xf numFmtId="49" fontId="8" fillId="0" borderId="1" xfId="0" applyNumberFormat="1" applyFont="1" applyBorder="1" applyAlignment="1" applyProtection="1">
      <alignment horizontal="center" vertical="center" readingOrder="2"/>
      <protection locked="0"/>
    </xf>
    <xf numFmtId="0" fontId="19" fillId="0" borderId="1" xfId="2" applyBorder="1" applyAlignment="1" applyProtection="1">
      <alignment horizontal="center" vertical="center" readingOrder="2"/>
      <protection locked="0"/>
    </xf>
    <xf numFmtId="0" fontId="13" fillId="0" borderId="5" xfId="0" applyFont="1" applyBorder="1" applyAlignment="1">
      <alignment horizontal="center" vertical="center"/>
    </xf>
    <xf numFmtId="166" fontId="13" fillId="0" borderId="0" xfId="0" applyNumberFormat="1" applyFont="1" applyAlignment="1">
      <alignment horizontal="center" vertical="center"/>
    </xf>
    <xf numFmtId="14" fontId="12" fillId="0" borderId="0" xfId="0" applyNumberFormat="1" applyFont="1"/>
    <xf numFmtId="14" fontId="0" fillId="0" borderId="0" xfId="0" applyNumberFormat="1" applyAlignment="1">
      <alignment horizontal="center" vertical="center" wrapText="1"/>
    </xf>
    <xf numFmtId="168" fontId="0" fillId="0" borderId="0" xfId="0" applyNumberFormat="1"/>
    <xf numFmtId="0" fontId="22" fillId="0" borderId="2" xfId="0" applyFont="1" applyBorder="1"/>
    <xf numFmtId="0" fontId="21" fillId="0" borderId="0" xfId="0" applyFont="1"/>
    <xf numFmtId="0" fontId="23" fillId="0" borderId="1" xfId="0" applyFont="1" applyBorder="1" applyAlignment="1">
      <alignment horizontal="center" vertical="center" readingOrder="2"/>
    </xf>
    <xf numFmtId="0" fontId="23" fillId="0" borderId="1" xfId="0" applyNumberFormat="1" applyFont="1" applyBorder="1" applyAlignment="1">
      <alignment horizontal="center" vertical="center" readingOrder="2"/>
    </xf>
    <xf numFmtId="4" fontId="23" fillId="0" borderId="1" xfId="0" applyNumberFormat="1" applyFont="1" applyBorder="1" applyAlignment="1">
      <alignment horizontal="center" vertical="center" readingOrder="2"/>
    </xf>
    <xf numFmtId="0" fontId="22" fillId="0" borderId="1" xfId="0" applyFont="1" applyBorder="1" applyAlignment="1" applyProtection="1">
      <alignment horizontal="center" vertical="center" readingOrder="2"/>
      <protection locked="0"/>
    </xf>
    <xf numFmtId="0" fontId="21" fillId="0" borderId="0" xfId="0" applyFont="1" applyAlignment="1">
      <alignment vertical="center" wrapText="1"/>
    </xf>
    <xf numFmtId="0" fontId="22" fillId="0" borderId="1" xfId="0" applyFont="1" applyBorder="1" applyAlignment="1" applyProtection="1">
      <alignment horizontal="center" vertical="center" readingOrder="2"/>
    </xf>
    <xf numFmtId="0" fontId="22" fillId="0" borderId="1" xfId="0" applyNumberFormat="1" applyFont="1" applyBorder="1" applyAlignment="1">
      <alignment horizontal="center" vertical="center" readingOrder="2"/>
    </xf>
    <xf numFmtId="4" fontId="22" fillId="0" borderId="1" xfId="0" applyNumberFormat="1" applyFont="1" applyBorder="1" applyAlignment="1">
      <alignment horizontal="center" vertical="center" readingOrder="2"/>
    </xf>
    <xf numFmtId="4" fontId="22" fillId="0" borderId="2" xfId="0" applyNumberFormat="1" applyFont="1" applyBorder="1" applyAlignment="1">
      <alignment horizontal="center"/>
    </xf>
    <xf numFmtId="0" fontId="23" fillId="0" borderId="2" xfId="0" applyNumberFormat="1" applyFont="1" applyBorder="1" applyAlignment="1">
      <alignment horizontal="center"/>
    </xf>
    <xf numFmtId="0" fontId="24" fillId="0" borderId="0" xfId="0" applyNumberFormat="1" applyFont="1" applyAlignment="1">
      <alignment horizontal="center"/>
    </xf>
    <xf numFmtId="4" fontId="21" fillId="0" borderId="0" xfId="0" applyNumberFormat="1" applyFont="1" applyAlignment="1">
      <alignment horizontal="center"/>
    </xf>
    <xf numFmtId="0" fontId="21" fillId="0" borderId="0" xfId="0" applyNumberFormat="1" applyFont="1"/>
    <xf numFmtId="168" fontId="9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 readingOrder="2"/>
    </xf>
    <xf numFmtId="0" fontId="18" fillId="0" borderId="0" xfId="0" applyFont="1"/>
    <xf numFmtId="0" fontId="18" fillId="0" borderId="0" xfId="0" applyFont="1" applyAlignment="1">
      <alignment horizontal="center"/>
    </xf>
    <xf numFmtId="0" fontId="21" fillId="0" borderId="0" xfId="0" applyFont="1" applyAlignment="1">
      <alignment vertical="center"/>
    </xf>
    <xf numFmtId="166" fontId="24" fillId="5" borderId="2" xfId="1" applyNumberFormat="1" applyFont="1" applyFill="1" applyBorder="1" applyAlignment="1">
      <alignment vertical="center"/>
    </xf>
    <xf numFmtId="0" fontId="21" fillId="5" borderId="3" xfId="0" applyFont="1" applyFill="1" applyBorder="1" applyAlignment="1">
      <alignment vertical="center"/>
    </xf>
    <xf numFmtId="0" fontId="21" fillId="0" borderId="0" xfId="0" applyFont="1"/>
    <xf numFmtId="0" fontId="0" fillId="0" borderId="0" xfId="0" pivotButton="1"/>
    <xf numFmtId="0" fontId="0" fillId="0" borderId="0" xfId="0" applyAlignment="1">
      <alignment horizontal="right"/>
    </xf>
    <xf numFmtId="0" fontId="0" fillId="0" borderId="0" xfId="0" applyNumberFormat="1"/>
    <xf numFmtId="169" fontId="23" fillId="0" borderId="1" xfId="0" applyNumberFormat="1" applyFont="1" applyBorder="1" applyAlignment="1">
      <alignment horizontal="center" vertical="center" readingOrder="2"/>
    </xf>
    <xf numFmtId="169" fontId="22" fillId="0" borderId="1" xfId="0" applyNumberFormat="1" applyFont="1" applyBorder="1" applyAlignment="1">
      <alignment horizontal="center" vertical="center" readingOrder="2"/>
    </xf>
    <xf numFmtId="169" fontId="21" fillId="0" borderId="0" xfId="0" applyNumberFormat="1" applyFont="1"/>
    <xf numFmtId="0" fontId="25" fillId="0" borderId="2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49" fontId="26" fillId="0" borderId="0" xfId="0" applyNumberFormat="1" applyFont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49" fontId="25" fillId="0" borderId="4" xfId="0" applyNumberFormat="1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49" fontId="26" fillId="0" borderId="4" xfId="0" applyNumberFormat="1" applyFont="1" applyBorder="1" applyAlignment="1">
      <alignment horizontal="center" vertical="center"/>
    </xf>
    <xf numFmtId="0" fontId="25" fillId="8" borderId="4" xfId="0" applyFont="1" applyFill="1" applyBorder="1" applyAlignment="1" applyProtection="1">
      <alignment horizontal="centerContinuous" vertical="center" readingOrder="2"/>
      <protection locked="0"/>
    </xf>
    <xf numFmtId="49" fontId="25" fillId="8" borderId="4" xfId="0" applyNumberFormat="1" applyFont="1" applyFill="1" applyBorder="1" applyAlignment="1" applyProtection="1">
      <alignment horizontal="centerContinuous" vertical="center" readingOrder="2"/>
      <protection locked="0"/>
    </xf>
    <xf numFmtId="0" fontId="28" fillId="8" borderId="4" xfId="2" applyFont="1" applyFill="1" applyBorder="1" applyAlignment="1" applyProtection="1">
      <alignment horizontal="centerContinuous" vertical="center" readingOrder="2"/>
      <protection locked="0"/>
    </xf>
    <xf numFmtId="1" fontId="25" fillId="8" borderId="4" xfId="0" applyNumberFormat="1" applyFont="1" applyFill="1" applyBorder="1" applyAlignment="1" applyProtection="1">
      <alignment horizontal="centerContinuous" vertical="center" readingOrder="2"/>
      <protection locked="0"/>
    </xf>
    <xf numFmtId="0" fontId="25" fillId="8" borderId="2" xfId="0" applyFont="1" applyFill="1" applyBorder="1" applyAlignment="1">
      <alignment horizontal="center" vertical="center"/>
    </xf>
    <xf numFmtId="0" fontId="26" fillId="8" borderId="0" xfId="0" applyFont="1" applyFill="1" applyAlignment="1">
      <alignment horizontal="center" vertical="center"/>
    </xf>
    <xf numFmtId="0" fontId="25" fillId="7" borderId="4" xfId="0" applyFont="1" applyFill="1" applyBorder="1" applyAlignment="1" applyProtection="1">
      <alignment horizontal="centerContinuous" vertical="center" readingOrder="2"/>
      <protection locked="0"/>
    </xf>
    <xf numFmtId="49" fontId="25" fillId="7" borderId="4" xfId="0" applyNumberFormat="1" applyFont="1" applyFill="1" applyBorder="1" applyAlignment="1" applyProtection="1">
      <alignment horizontal="centerContinuous" vertical="center" readingOrder="2"/>
      <protection locked="0"/>
    </xf>
    <xf numFmtId="0" fontId="28" fillId="7" borderId="4" xfId="2" applyFont="1" applyFill="1" applyBorder="1" applyAlignment="1" applyProtection="1">
      <alignment horizontal="centerContinuous" vertical="center" readingOrder="2"/>
      <protection locked="0"/>
    </xf>
    <xf numFmtId="1" fontId="25" fillId="7" borderId="4" xfId="0" applyNumberFormat="1" applyFont="1" applyFill="1" applyBorder="1" applyAlignment="1" applyProtection="1">
      <alignment horizontal="centerContinuous" vertical="center" readingOrder="2"/>
      <protection locked="0"/>
    </xf>
    <xf numFmtId="0" fontId="25" fillId="7" borderId="2" xfId="0" applyFont="1" applyFill="1" applyBorder="1" applyAlignment="1">
      <alignment horizontal="center" vertical="center"/>
    </xf>
    <xf numFmtId="0" fontId="26" fillId="7" borderId="0" xfId="0" applyFont="1" applyFill="1" applyAlignment="1">
      <alignment horizontal="center" vertical="center"/>
    </xf>
    <xf numFmtId="0" fontId="29" fillId="0" borderId="4" xfId="0" applyFont="1" applyBorder="1" applyAlignment="1">
      <alignment horizontal="center" vertical="center" readingOrder="2"/>
    </xf>
    <xf numFmtId="49" fontId="29" fillId="0" borderId="4" xfId="0" applyNumberFormat="1" applyFont="1" applyBorder="1" applyAlignment="1">
      <alignment horizontal="center" vertical="center" readingOrder="2"/>
    </xf>
    <xf numFmtId="0" fontId="29" fillId="0" borderId="2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9" fontId="26" fillId="8" borderId="4" xfId="0" applyNumberFormat="1" applyFont="1" applyFill="1" applyBorder="1" applyAlignment="1">
      <alignment horizontal="center" vertical="center"/>
    </xf>
    <xf numFmtId="0" fontId="19" fillId="0" borderId="4" xfId="2" applyBorder="1" applyAlignment="1">
      <alignment horizontal="center" vertical="center"/>
    </xf>
    <xf numFmtId="0" fontId="26" fillId="8" borderId="4" xfId="0" applyFont="1" applyFill="1" applyBorder="1" applyAlignment="1">
      <alignment horizontal="center" vertical="center"/>
    </xf>
    <xf numFmtId="0" fontId="8" fillId="0" borderId="2" xfId="0" applyFont="1" applyBorder="1"/>
    <xf numFmtId="14" fontId="8" fillId="0" borderId="2" xfId="0" applyNumberFormat="1" applyFont="1" applyBorder="1"/>
    <xf numFmtId="0" fontId="19" fillId="0" borderId="2" xfId="2" applyBorder="1"/>
    <xf numFmtId="0" fontId="12" fillId="9" borderId="0" xfId="0" applyFont="1" applyFill="1"/>
    <xf numFmtId="168" fontId="18" fillId="0" borderId="0" xfId="0" applyNumberFormat="1" applyFont="1" applyAlignment="1">
      <alignment horizontal="center"/>
    </xf>
    <xf numFmtId="0" fontId="16" fillId="2" borderId="0" xfId="0" applyFont="1" applyFill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167" fontId="13" fillId="4" borderId="0" xfId="0" applyNumberFormat="1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3" fillId="4" borderId="0" xfId="0" applyNumberFormat="1" applyFont="1" applyFill="1" applyAlignment="1">
      <alignment horizontal="center" vertical="center"/>
    </xf>
    <xf numFmtId="166" fontId="14" fillId="5" borderId="4" xfId="0" applyNumberFormat="1" applyFont="1" applyFill="1" applyBorder="1" applyAlignment="1">
      <alignment horizontal="center" vertical="center" wrapText="1"/>
    </xf>
    <xf numFmtId="166" fontId="15" fillId="4" borderId="4" xfId="0" applyNumberFormat="1" applyFont="1" applyFill="1" applyBorder="1" applyAlignment="1">
      <alignment horizontal="center" vertical="center" wrapText="1"/>
    </xf>
    <xf numFmtId="165" fontId="14" fillId="5" borderId="4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>
      <alignment horizontal="center" vertical="center"/>
    </xf>
    <xf numFmtId="0" fontId="27" fillId="6" borderId="4" xfId="0" applyFont="1" applyFill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0" fillId="0" borderId="0" xfId="0"/>
    <xf numFmtId="0" fontId="20" fillId="6" borderId="2" xfId="0" applyFont="1" applyFill="1" applyBorder="1" applyAlignment="1">
      <alignment horizontal="center" vertical="center"/>
    </xf>
    <xf numFmtId="0" fontId="21" fillId="0" borderId="0" xfId="0" applyFont="1"/>
    <xf numFmtId="0" fontId="21" fillId="0" borderId="2" xfId="0" applyFont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5" borderId="0" xfId="0" applyFont="1" applyFill="1" applyAlignment="1">
      <alignment horizontal="center" vertical="center"/>
    </xf>
    <xf numFmtId="166" fontId="24" fillId="7" borderId="2" xfId="1" applyNumberFormat="1" applyFont="1" applyFill="1" applyBorder="1" applyAlignment="1">
      <alignment horizontal="center" vertical="center"/>
    </xf>
  </cellXfs>
  <cellStyles count="3">
    <cellStyle name="Currency" xfId="1" builtinId="4"/>
    <cellStyle name="Hyperlink" xfId="2" builtinId="8"/>
    <cellStyle name="Normal" xfId="0" builtinId="0"/>
  </cellStyles>
  <dxfs count="101"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Aptos Narrow"/>
        <family val="2"/>
      </font>
    </dxf>
    <dxf>
      <font>
        <strike val="0"/>
        <outline val="0"/>
        <shadow val="0"/>
        <u val="none"/>
        <vertAlign val="baseline"/>
        <sz val="12"/>
        <name val="Aptos Narrow"/>
        <family val="2"/>
      </font>
      <numFmt numFmtId="0" formatCode="General"/>
    </dxf>
    <dxf>
      <font>
        <strike val="0"/>
        <outline val="0"/>
        <shadow val="0"/>
        <u val="none"/>
        <vertAlign val="baseline"/>
        <sz val="12"/>
        <name val="Aptos Narrow"/>
        <family val="2"/>
      </font>
      <numFmt numFmtId="4" formatCode="#,##0.00"/>
      <alignment horizontal="center" textRotation="0" wrapText="0" indent="0" justifyLastLine="0" shrinkToFit="0"/>
    </dxf>
    <dxf>
      <font>
        <strike val="0"/>
        <outline val="0"/>
        <shadow val="0"/>
        <u val="none"/>
        <vertAlign val="baseline"/>
        <sz val="12"/>
        <name val="Aptos Narrow"/>
        <family val="2"/>
      </font>
      <numFmt numFmtId="0" formatCode="General"/>
    </dxf>
    <dxf>
      <font>
        <strike val="0"/>
        <outline val="0"/>
        <shadow val="0"/>
        <u val="none"/>
        <vertAlign val="baseline"/>
        <sz val="12"/>
        <name val="Aptos Narrow"/>
        <family val="2"/>
      </font>
      <numFmt numFmtId="169" formatCode="[$-1010000]d/m/yyyy;@"/>
    </dxf>
    <dxf>
      <font>
        <b/>
        <strike val="0"/>
        <outline val="0"/>
        <shadow val="0"/>
        <u val="none"/>
        <vertAlign val="baseline"/>
        <sz val="12"/>
        <name val="Aptos Narrow"/>
        <family val="2"/>
      </font>
      <numFmt numFmtId="0" formatCode="General"/>
      <alignment horizontal="center" textRotation="0" wrapText="0" indent="0" justifyLastLine="0" shrinkToFit="0"/>
    </dxf>
    <dxf>
      <font>
        <strike val="0"/>
        <outline val="0"/>
        <shadow val="0"/>
        <u val="none"/>
        <vertAlign val="baseline"/>
        <sz val="12"/>
        <name val="Aptos Narrow"/>
        <family val="2"/>
      </font>
      <numFmt numFmtId="0" formatCode="General"/>
    </dxf>
    <dxf>
      <font>
        <strike val="0"/>
        <outline val="0"/>
        <shadow val="0"/>
        <u val="none"/>
        <vertAlign val="baseline"/>
        <sz val="12"/>
        <name val="Aptos Narrow"/>
        <family val="2"/>
      </font>
    </dxf>
    <dxf>
      <font>
        <strike val="0"/>
        <outline val="0"/>
        <shadow val="0"/>
        <u val="none"/>
        <vertAlign val="baseline"/>
        <sz val="12"/>
        <name val="Aptos Narrow"/>
        <family val="2"/>
      </font>
    </dxf>
    <dxf>
      <font>
        <strike val="0"/>
        <outline val="0"/>
        <shadow val="0"/>
        <u val="none"/>
        <vertAlign val="baseline"/>
        <sz val="12"/>
        <name val="Aptos Narrow"/>
        <family val="2"/>
      </font>
    </dxf>
    <dxf>
      <font>
        <strike val="0"/>
        <outline val="0"/>
        <shadow val="0"/>
        <u val="none"/>
        <vertAlign val="baseline"/>
        <sz val="12"/>
        <name val="Aptos Narrow"/>
        <family val="2"/>
      </font>
    </dxf>
    <dxf>
      <font>
        <strike val="0"/>
        <outline val="0"/>
        <shadow val="0"/>
        <u val="none"/>
        <vertAlign val="baseline"/>
        <sz val="12"/>
        <name val="Aptos Narrow"/>
        <family val="2"/>
      </font>
    </dxf>
    <dxf>
      <font>
        <strike val="0"/>
        <outline val="0"/>
        <shadow val="0"/>
        <u val="none"/>
        <vertAlign val="baseline"/>
        <sz val="12"/>
        <name val="Aptos Narrow"/>
        <family val="2"/>
      </font>
    </dxf>
    <dxf>
      <font>
        <strike val="0"/>
        <outline val="0"/>
        <shadow val="0"/>
        <u val="none"/>
        <vertAlign val="baseline"/>
        <sz val="12"/>
        <name val="Aptos Narrow"/>
        <family val="2"/>
      </font>
    </dxf>
    <dxf>
      <font>
        <strike val="0"/>
        <outline val="0"/>
        <shadow val="0"/>
        <u val="none"/>
        <vertAlign val="baseline"/>
        <sz val="12"/>
        <name val="Aptos Narrow"/>
        <family val="2"/>
      </font>
    </dxf>
    <dxf>
      <numFmt numFmtId="19" formatCode="m/d/yyyy"/>
    </dxf>
    <dxf>
      <numFmt numFmtId="19" formatCode="m/d/yyyy"/>
    </dxf>
    <dxf>
      <font>
        <b/>
        <strike val="0"/>
        <outline val="0"/>
        <shadow val="0"/>
        <u val="none"/>
        <vertAlign val="baseline"/>
        <sz val="20"/>
        <name val="Calibri"/>
        <family val="2"/>
        <scheme val="none"/>
      </font>
      <alignment horizontal="center" vertical="center" textRotation="0" wrapText="0" indent="0" justifyLastLine="0" shrinkToFit="0"/>
      <border diagonalUp="0" diagonalDown="0">
        <left style="thick">
          <color auto="1"/>
        </left>
        <right/>
        <top style="thick">
          <color auto="1"/>
        </top>
        <bottom style="thick">
          <color auto="1"/>
        </bottom>
        <vertical style="thick">
          <color auto="1"/>
        </vertical>
        <horizontal style="thick">
          <color auto="1"/>
        </horizontal>
      </border>
    </dxf>
    <dxf>
      <font>
        <b/>
        <strike val="0"/>
        <outline val="0"/>
        <shadow val="0"/>
        <u val="none"/>
        <vertAlign val="baseline"/>
        <sz val="20"/>
        <name val="Calibri"/>
        <family val="2"/>
        <scheme val="none"/>
      </font>
      <alignment horizontal="center" vertical="center" textRotation="0" wrapText="0" indent="0" justifyLastLine="0" shrinkToFit="0"/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ck">
          <color auto="1"/>
        </vertical>
        <horizontal style="thick">
          <color auto="1"/>
        </horizontal>
      </border>
    </dxf>
    <dxf>
      <font>
        <b/>
        <strike val="0"/>
        <outline val="0"/>
        <shadow val="0"/>
        <u val="none"/>
        <vertAlign val="baseline"/>
        <sz val="20"/>
        <name val="Calibri"/>
        <family val="2"/>
        <scheme val="none"/>
      </font>
      <alignment horizontal="center" vertical="center" textRotation="0" wrapText="0" indent="0" justifyLastLine="0" shrinkToFit="0"/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ck">
          <color auto="1"/>
        </vertical>
        <horizontal style="thick">
          <color auto="1"/>
        </horizontal>
      </border>
    </dxf>
    <dxf>
      <font>
        <b/>
        <strike val="0"/>
        <outline val="0"/>
        <shadow val="0"/>
        <u val="none"/>
        <vertAlign val="baseline"/>
        <sz val="20"/>
        <name val="Calibri"/>
        <family val="2"/>
        <scheme val="none"/>
      </font>
      <alignment horizontal="center" vertical="center" textRotation="0" wrapText="0" indent="0" justifyLastLine="0" shrinkToFit="0"/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ck">
          <color auto="1"/>
        </vertical>
        <horizontal style="thick">
          <color auto="1"/>
        </horizontal>
      </border>
    </dxf>
    <dxf>
      <font>
        <b/>
        <strike val="0"/>
        <outline val="0"/>
        <shadow val="0"/>
        <u val="none"/>
        <vertAlign val="baseline"/>
        <sz val="20"/>
        <name val="Calibri"/>
        <family val="2"/>
        <scheme val="none"/>
      </font>
      <alignment horizontal="center" vertical="center" textRotation="0" wrapText="0" indent="0" justifyLastLine="0" shrinkToFit="0"/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ck">
          <color auto="1"/>
        </vertical>
        <horizontal style="thick">
          <color auto="1"/>
        </horizontal>
      </border>
    </dxf>
    <dxf>
      <font>
        <b/>
        <strike val="0"/>
        <outline val="0"/>
        <shadow val="0"/>
        <u val="none"/>
        <vertAlign val="baseline"/>
        <sz val="20"/>
        <name val="Calibri"/>
        <family val="2"/>
        <scheme val="none"/>
      </font>
      <alignment horizontal="center" vertical="center" textRotation="0" wrapText="0" indent="0" justifyLastLine="0" shrinkToFit="0"/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ck">
          <color auto="1"/>
        </vertical>
        <horizontal style="thick">
          <color auto="1"/>
        </horizontal>
      </border>
    </dxf>
    <dxf>
      <font>
        <b/>
        <strike val="0"/>
        <outline val="0"/>
        <shadow val="0"/>
        <u val="none"/>
        <vertAlign val="baseline"/>
        <sz val="20"/>
        <name val="Calibri"/>
        <family val="2"/>
        <scheme val="none"/>
      </font>
      <numFmt numFmtId="30" formatCode="@"/>
      <alignment horizontal="center" vertical="center" textRotation="0" wrapText="0" indent="0" justifyLastLine="0" shrinkToFit="0"/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ck">
          <color auto="1"/>
        </vertical>
        <horizontal style="thick">
          <color auto="1"/>
        </horizontal>
      </border>
    </dxf>
    <dxf>
      <font>
        <b/>
        <strike val="0"/>
        <outline val="0"/>
        <shadow val="0"/>
        <u val="none"/>
        <vertAlign val="baseline"/>
        <sz val="20"/>
        <name val="Calibri"/>
        <family val="2"/>
        <scheme val="none"/>
      </font>
      <numFmt numFmtId="30" formatCode="@"/>
      <alignment horizontal="center" vertical="center" textRotation="0" wrapText="0" indent="0" justifyLastLine="0" shrinkToFit="0"/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ck">
          <color auto="1"/>
        </vertical>
        <horizontal style="thick">
          <color auto="1"/>
        </horizontal>
      </border>
    </dxf>
    <dxf>
      <font>
        <b/>
        <strike val="0"/>
        <outline val="0"/>
        <shadow val="0"/>
        <u val="none"/>
        <vertAlign val="baseline"/>
        <sz val="20"/>
        <name val="Calibri"/>
        <family val="2"/>
        <scheme val="none"/>
      </font>
      <alignment horizontal="center" vertical="center" textRotation="0" wrapText="0" indent="0" justifyLastLine="0" shrinkToFit="0"/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ck">
          <color auto="1"/>
        </vertical>
        <horizontal style="thick">
          <color auto="1"/>
        </horizontal>
      </border>
    </dxf>
    <dxf>
      <font>
        <b/>
        <strike val="0"/>
        <outline val="0"/>
        <shadow val="0"/>
        <u val="none"/>
        <vertAlign val="baseline"/>
        <sz val="20"/>
        <name val="Calibri"/>
        <family val="2"/>
        <scheme val="none"/>
      </font>
      <alignment horizontal="center" vertical="center" textRotation="0" wrapText="0" indent="0" justifyLastLine="0" shrinkToFit="0"/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ck">
          <color auto="1"/>
        </vertical>
        <horizontal style="thick">
          <color auto="1"/>
        </horizontal>
      </border>
    </dxf>
    <dxf>
      <font>
        <b/>
        <strike val="0"/>
        <outline val="0"/>
        <shadow val="0"/>
        <u val="none"/>
        <vertAlign val="baseline"/>
        <sz val="20"/>
        <name val="Calibri"/>
        <family val="2"/>
        <scheme val="none"/>
      </font>
      <alignment horizontal="center" vertical="center" textRotation="0" wrapText="0" indent="0" justifyLastLine="0" shrinkToFit="0"/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ck">
          <color auto="1"/>
        </vertical>
        <horizontal style="thick">
          <color auto="1"/>
        </horizontal>
      </border>
    </dxf>
    <dxf>
      <font>
        <b/>
        <strike val="0"/>
        <outline val="0"/>
        <shadow val="0"/>
        <u val="none"/>
        <vertAlign val="baseline"/>
        <sz val="20"/>
        <name val="Calibri"/>
        <family val="2"/>
        <scheme val="none"/>
      </font>
      <alignment horizontal="center" vertical="center" textRotation="0" wrapText="0" indent="0" justifyLastLine="0" shrinkToFit="0"/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ck">
          <color auto="1"/>
        </vertical>
        <horizontal style="thick">
          <color auto="1"/>
        </horizontal>
      </border>
    </dxf>
    <dxf>
      <font>
        <b/>
        <strike val="0"/>
        <outline val="0"/>
        <shadow val="0"/>
        <u val="none"/>
        <vertAlign val="baseline"/>
        <sz val="20"/>
        <name val="Calibri"/>
        <family val="2"/>
        <scheme val="none"/>
      </font>
      <alignment horizontal="center" vertical="center" textRotation="0" wrapText="0" indent="0" justifyLastLine="0" shrinkToFit="0"/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ck">
          <color auto="1"/>
        </vertical>
        <horizontal style="thick">
          <color auto="1"/>
        </horizontal>
      </border>
    </dxf>
    <dxf>
      <font>
        <b/>
        <strike val="0"/>
        <outline val="0"/>
        <shadow val="0"/>
        <u val="none"/>
        <vertAlign val="baseline"/>
        <sz val="20"/>
        <name val="Calibri"/>
        <family val="2"/>
        <scheme val="none"/>
      </font>
      <alignment horizontal="center" vertical="center" textRotation="0" wrapText="0" indent="0" justifyLastLine="0" shrinkToFit="0"/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ck">
          <color auto="1"/>
        </vertical>
        <horizontal style="thick">
          <color auto="1"/>
        </horizontal>
      </border>
    </dxf>
    <dxf>
      <font>
        <b/>
        <strike val="0"/>
        <outline val="0"/>
        <shadow val="0"/>
        <u val="none"/>
        <vertAlign val="baseline"/>
        <sz val="20"/>
        <name val="Calibri"/>
        <family val="2"/>
        <scheme val="none"/>
      </font>
      <alignment horizontal="center" vertical="center" textRotation="0" wrapText="0" indent="0" justifyLastLine="0" shrinkToFit="0"/>
      <border diagonalUp="0" diagonalDown="0">
        <left/>
        <right style="thick">
          <color auto="1"/>
        </right>
        <top style="thick">
          <color auto="1"/>
        </top>
        <bottom style="thick">
          <color auto="1"/>
        </bottom>
        <vertical style="thick">
          <color auto="1"/>
        </vertical>
        <horizontal style="thick">
          <color auto="1"/>
        </horizontal>
      </border>
    </dxf>
    <dxf>
      <font>
        <b/>
        <strike val="0"/>
        <outline val="0"/>
        <shadow val="0"/>
        <u val="none"/>
        <vertAlign val="baseline"/>
        <sz val="20"/>
        <name val="Calibri"/>
        <family val="2"/>
        <scheme val="none"/>
      </font>
      <alignment horizontal="center" vertical="center" textRotation="0" wrapText="0" indent="0" justifyLastLine="0" shrinkToFit="0"/>
      <border diagonalUp="0" diagonalDown="0">
        <left style="thick">
          <color auto="1"/>
        </left>
        <right style="thick">
          <color auto="1"/>
        </right>
        <top/>
        <bottom/>
        <vertical style="thick">
          <color auto="1"/>
        </vertical>
        <horizontal style="thick">
          <color auto="1"/>
        </horizontal>
      </border>
    </dxf>
    <dxf>
      <font>
        <b/>
        <strike val="0"/>
        <outline val="0"/>
        <shadow val="0"/>
        <u val="none"/>
        <vertAlign val="baseline"/>
        <sz val="20"/>
        <name val="Calibri"/>
        <family val="2"/>
        <scheme val="none"/>
      </font>
      <alignment horizontal="center" vertical="center" textRotation="0" wrapText="0" indent="0" justifyLastLine="0" shrinkToFit="0"/>
    </dxf>
    <dxf>
      <font>
        <b/>
        <strike val="0"/>
        <outline val="0"/>
        <shadow val="0"/>
        <u val="none"/>
        <vertAlign val="baseline"/>
        <sz val="20"/>
        <color theme="0"/>
        <name val="Calibri"/>
        <family val="2"/>
        <scheme val="none"/>
      </font>
      <alignment horizontal="center" vertical="center" textRotation="0" wrapText="0" indent="0" justifyLastLine="0" shrinkToFit="0"/>
      <border diagonalUp="0" diagonalDown="0" outline="0">
        <left style="thick">
          <color auto="1"/>
        </left>
        <right style="thick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8" formatCode="yyyy\-mm\-dd;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color theme="0" tint="-4.9989318521683403E-2"/>
      </font>
      <fill>
        <patternFill>
          <bgColor rgb="FFFF000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righ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22"/>
        <color theme="1"/>
        <name val="Calibri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ck">
          <color auto="1"/>
        </left>
        <right/>
        <top style="thick">
          <color auto="1"/>
        </top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Calibri"/>
        <family val="2"/>
        <scheme val="none"/>
      </font>
      <numFmt numFmtId="14" formatCode="0.00%"/>
      <alignment horizontal="center" vertical="center" textRotation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Calibri"/>
        <family val="2"/>
        <scheme val="none"/>
      </font>
      <numFmt numFmtId="14" formatCode="0.00%"/>
      <alignment horizontal="center" vertical="center" textRotation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Calibri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Calibri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Calibri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Calibri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Calibri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476250</xdr:colOff>
      <xdr:row>53</xdr:row>
      <xdr:rowOff>38100</xdr:rowOff>
    </xdr:from>
    <xdr:to>
      <xdr:col>13</xdr:col>
      <xdr:colOff>857250</xdr:colOff>
      <xdr:row>57</xdr:row>
      <xdr:rowOff>57150</xdr:rowOff>
    </xdr:to>
    <xdr:sp macro="[0]!SavePurchase" textlink="">
      <xdr:nvSpPr>
        <xdr:cNvPr id="2" name="Rectangle 1">
          <a:extLst>
            <a:ext uri="{FF2B5EF4-FFF2-40B4-BE49-F238E27FC236}">
              <a16:creationId xmlns:a16="http://schemas.microsoft.com/office/drawing/2014/main" id="{0968B827-8441-74C8-AED2-FFC5171C40EC}"/>
            </a:ext>
          </a:extLst>
        </xdr:cNvPr>
        <xdr:cNvSpPr/>
      </xdr:nvSpPr>
      <xdr:spPr>
        <a:xfrm>
          <a:off x="10917250200" y="22440900"/>
          <a:ext cx="3810000" cy="154305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en-US" sz="3600"/>
            <a:t> {</a:t>
          </a:r>
          <a:r>
            <a:rPr lang="ar-EG" sz="3600"/>
            <a:t>حفظ</a:t>
          </a:r>
          <a:r>
            <a:rPr lang="ar-EG" sz="3600" baseline="0"/>
            <a:t> العمليه</a:t>
          </a:r>
          <a:r>
            <a:rPr lang="en-US" sz="3600"/>
            <a:t>💾 }</a:t>
          </a:r>
          <a:endParaRPr lang="ar-EG" sz="3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68580</xdr:rowOff>
    </xdr:from>
    <xdr:to>
      <xdr:col>4</xdr:col>
      <xdr:colOff>441960</xdr:colOff>
      <xdr:row>2</xdr:row>
      <xdr:rowOff>167640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BB00F20-C233-FEE9-49A4-238CC654C9D4}"/>
            </a:ext>
          </a:extLst>
        </xdr:cNvPr>
        <xdr:cNvSpPr/>
      </xdr:nvSpPr>
      <xdr:spPr>
        <a:xfrm>
          <a:off x="10983330840" y="68580"/>
          <a:ext cx="2933700" cy="4495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en-US" sz="1800"/>
            <a:t>💰 </a:t>
          </a:r>
          <a:r>
            <a:rPr lang="ar-EG" sz="1800"/>
            <a:t>إجمالي المشتريات</a:t>
          </a:r>
          <a:endParaRPr lang="en-US" sz="1800"/>
        </a:p>
      </xdr:txBody>
    </xdr:sp>
    <xdr:clientData/>
  </xdr:twoCellAnchor>
  <xdr:twoCellAnchor>
    <xdr:from>
      <xdr:col>0</xdr:col>
      <xdr:colOff>175260</xdr:colOff>
      <xdr:row>6</xdr:row>
      <xdr:rowOff>7620</xdr:rowOff>
    </xdr:from>
    <xdr:to>
      <xdr:col>4</xdr:col>
      <xdr:colOff>426720</xdr:colOff>
      <xdr:row>8</xdr:row>
      <xdr:rowOff>106680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EC5582F-6B73-4B12-93CD-4913B2B676D6}"/>
            </a:ext>
          </a:extLst>
        </xdr:cNvPr>
        <xdr:cNvSpPr/>
      </xdr:nvSpPr>
      <xdr:spPr>
        <a:xfrm>
          <a:off x="10983346080" y="1059180"/>
          <a:ext cx="2933700" cy="4495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en-US" sz="1800"/>
            <a:t>📄 </a:t>
          </a:r>
          <a:r>
            <a:rPr lang="ar-EG" sz="1800"/>
            <a:t>عدد عمليات الشراء</a:t>
          </a:r>
          <a:endParaRPr lang="en-US" sz="1800"/>
        </a:p>
        <a:p>
          <a:pPr algn="ctr" rtl="1"/>
          <a:endParaRPr lang="en-US" sz="1800"/>
        </a:p>
      </xdr:txBody>
    </xdr:sp>
    <xdr:clientData/>
  </xdr:twoCellAnchor>
  <xdr:twoCellAnchor>
    <xdr:from>
      <xdr:col>5</xdr:col>
      <xdr:colOff>556260</xdr:colOff>
      <xdr:row>0</xdr:row>
      <xdr:rowOff>76200</xdr:rowOff>
    </xdr:from>
    <xdr:to>
      <xdr:col>10</xdr:col>
      <xdr:colOff>137160</xdr:colOff>
      <xdr:row>3</xdr:row>
      <xdr:rowOff>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404585E-24AE-47F9-9008-1E659F6BCBDF}"/>
            </a:ext>
          </a:extLst>
        </xdr:cNvPr>
        <xdr:cNvSpPr/>
      </xdr:nvSpPr>
      <xdr:spPr>
        <a:xfrm>
          <a:off x="10979612280" y="76200"/>
          <a:ext cx="2933700" cy="4495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en-US" sz="1800"/>
            <a:t>🏢 </a:t>
          </a:r>
          <a:r>
            <a:rPr lang="ar-EG" sz="1800"/>
            <a:t>عدد الموردين</a:t>
          </a:r>
          <a:endParaRPr lang="en-US" sz="1800"/>
        </a:p>
      </xdr:txBody>
    </xdr:sp>
    <xdr:clientData/>
  </xdr:twoCellAnchor>
  <xdr:twoCellAnchor>
    <xdr:from>
      <xdr:col>10</xdr:col>
      <xdr:colOff>571500</xdr:colOff>
      <xdr:row>0</xdr:row>
      <xdr:rowOff>91440</xdr:rowOff>
    </xdr:from>
    <xdr:to>
      <xdr:col>15</xdr:col>
      <xdr:colOff>152400</xdr:colOff>
      <xdr:row>3</xdr:row>
      <xdr:rowOff>15240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70BEAF5-C4FE-482E-842D-34B19DC9394A}"/>
            </a:ext>
          </a:extLst>
        </xdr:cNvPr>
        <xdr:cNvSpPr/>
      </xdr:nvSpPr>
      <xdr:spPr>
        <a:xfrm>
          <a:off x="10976244240" y="91440"/>
          <a:ext cx="2933700" cy="4495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en-US" sz="1800"/>
            <a:t>📦 </a:t>
          </a:r>
          <a:r>
            <a:rPr lang="ar-EG" sz="1800"/>
            <a:t>عدد الأصناف</a:t>
          </a:r>
          <a:endParaRPr lang="en-US" sz="1800"/>
        </a:p>
      </xdr:txBody>
    </xdr:sp>
    <xdr:clientData/>
  </xdr:twoCellAnchor>
  <xdr:twoCellAnchor>
    <xdr:from>
      <xdr:col>5</xdr:col>
      <xdr:colOff>525780</xdr:colOff>
      <xdr:row>6</xdr:row>
      <xdr:rowOff>7620</xdr:rowOff>
    </xdr:from>
    <xdr:to>
      <xdr:col>10</xdr:col>
      <xdr:colOff>106680</xdr:colOff>
      <xdr:row>8</xdr:row>
      <xdr:rowOff>106680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24ED5E7C-78DC-4168-A3C6-C34FAD254879}"/>
            </a:ext>
          </a:extLst>
        </xdr:cNvPr>
        <xdr:cNvSpPr/>
      </xdr:nvSpPr>
      <xdr:spPr>
        <a:xfrm>
          <a:off x="10979642760" y="1059180"/>
          <a:ext cx="2933700" cy="4495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en-US" sz="1800"/>
            <a:t>💵 </a:t>
          </a:r>
          <a:r>
            <a:rPr lang="ar-EG" sz="1800"/>
            <a:t>إجمالي المدفوع</a:t>
          </a:r>
          <a:endParaRPr lang="en-US" sz="1800"/>
        </a:p>
      </xdr:txBody>
    </xdr:sp>
    <xdr:clientData/>
  </xdr:twoCellAnchor>
  <xdr:twoCellAnchor>
    <xdr:from>
      <xdr:col>10</xdr:col>
      <xdr:colOff>563880</xdr:colOff>
      <xdr:row>6</xdr:row>
      <xdr:rowOff>22860</xdr:rowOff>
    </xdr:from>
    <xdr:to>
      <xdr:col>15</xdr:col>
      <xdr:colOff>144780</xdr:colOff>
      <xdr:row>8</xdr:row>
      <xdr:rowOff>121920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1B7B37CE-9574-4521-A70C-FE2E3D1927F7}"/>
            </a:ext>
          </a:extLst>
        </xdr:cNvPr>
        <xdr:cNvSpPr/>
      </xdr:nvSpPr>
      <xdr:spPr>
        <a:xfrm>
          <a:off x="10976251860" y="1074420"/>
          <a:ext cx="2933700" cy="4495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en-US" sz="1800"/>
            <a:t>⏳ </a:t>
          </a:r>
          <a:r>
            <a:rPr lang="ar-EG" sz="1800"/>
            <a:t>إجمالي المتبقي</a:t>
          </a:r>
          <a:endParaRPr lang="en-US" sz="1800"/>
        </a:p>
      </xdr:txBody>
    </xdr:sp>
    <xdr:clientData/>
  </xdr:twoCellAnchor>
  <xdr:twoCellAnchor>
    <xdr:from>
      <xdr:col>15</xdr:col>
      <xdr:colOff>579120</xdr:colOff>
      <xdr:row>5</xdr:row>
      <xdr:rowOff>160020</xdr:rowOff>
    </xdr:from>
    <xdr:to>
      <xdr:col>20</xdr:col>
      <xdr:colOff>160020</xdr:colOff>
      <xdr:row>8</xdr:row>
      <xdr:rowOff>106680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38473705-2439-41F4-94BC-728737C34963}"/>
            </a:ext>
          </a:extLst>
        </xdr:cNvPr>
        <xdr:cNvSpPr/>
      </xdr:nvSpPr>
      <xdr:spPr>
        <a:xfrm>
          <a:off x="10972883820" y="1104900"/>
          <a:ext cx="2933700" cy="495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en-US" sz="1800"/>
            <a:t>🏗 </a:t>
          </a:r>
          <a:r>
            <a:rPr lang="ar-EG" sz="1800"/>
            <a:t>عدد المشاريع</a:t>
          </a:r>
          <a:endParaRPr lang="en-US" sz="1800"/>
        </a:p>
      </xdr:txBody>
    </xdr:sp>
    <xdr:clientData/>
  </xdr:twoCellAnchor>
  <xdr:twoCellAnchor>
    <xdr:from>
      <xdr:col>15</xdr:col>
      <xdr:colOff>617220</xdr:colOff>
      <xdr:row>0</xdr:row>
      <xdr:rowOff>83820</xdr:rowOff>
    </xdr:from>
    <xdr:to>
      <xdr:col>20</xdr:col>
      <xdr:colOff>198120</xdr:colOff>
      <xdr:row>2</xdr:row>
      <xdr:rowOff>182880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E8B8B38-5F8A-4F34-A234-12F8F62756B2}"/>
            </a:ext>
          </a:extLst>
        </xdr:cNvPr>
        <xdr:cNvSpPr/>
      </xdr:nvSpPr>
      <xdr:spPr>
        <a:xfrm>
          <a:off x="10972845720" y="83820"/>
          <a:ext cx="2933700" cy="495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en-US" sz="1800"/>
            <a:t>👥 </a:t>
          </a:r>
          <a:r>
            <a:rPr lang="ar-EG" sz="1800"/>
            <a:t>عدد العملاء</a:t>
          </a:r>
          <a:endParaRPr lang="en-US" sz="18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6225.423522800927" createdVersion="8" refreshedVersion="8" minRefreshableVersion="3" recordCount="59" xr:uid="{4947629B-938B-4082-B81D-995088ED3B13}">
  <cacheSource type="worksheet">
    <worksheetSource name="tblPurchaseRegister"/>
  </cacheSource>
  <cacheFields count="10">
    <cacheField name="رقم العملية" numFmtId="0">
      <sharedItems containsBlank="1"/>
    </cacheField>
    <cacheField name="تاريخ الشراء" numFmtId="0">
      <sharedItems containsNonDate="0" containsDate="1" containsString="0" containsBlank="1" minDate="2026-05-05T00:00:00" maxDate="2026-05-06T00:00:00"/>
    </cacheField>
    <cacheField name="رقم الفاتورة" numFmtId="0">
      <sharedItems containsBlank="1"/>
    </cacheField>
    <cacheField name="المورد" numFmtId="0">
      <sharedItems containsBlank="1" count="2">
        <s v="سيكا"/>
        <m/>
      </sharedItems>
    </cacheField>
    <cacheField name="المشروع" numFmtId="0">
      <sharedItems containsBlank="1"/>
    </cacheField>
    <cacheField name="العميل" numFmtId="0">
      <sharedItems containsBlank="1"/>
    </cacheField>
    <cacheField name="إجمالي الفاتورة" numFmtId="0">
      <sharedItems containsString="0" containsBlank="1" containsNumber="1" containsInteger="1" minValue="2166" maxValue="2166"/>
    </cacheField>
    <cacheField name="طريقة الدفع" numFmtId="0">
      <sharedItems containsNonDate="0" containsString="0" containsBlank="1"/>
    </cacheField>
    <cacheField name="حالة الدفع" numFmtId="0">
      <sharedItems containsNonDate="0" containsString="0" containsBlank="1"/>
    </cacheField>
    <cacheField name="ملاحظات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">
  <r>
    <s v="PUR-000001"/>
    <d v="2026-05-05T00:00:00"/>
    <s v="INV-TEST-001"/>
    <x v="0"/>
    <s v="الحواميديه"/>
    <s v="أ\احمد ايوب"/>
    <n v="2166"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  <r>
    <m/>
    <m/>
    <m/>
    <x v="1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7F5105-1809-433C-B168-B80CE1214681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أفضل الموردين">
  <location ref="A20:B23" firstHeaderRow="1" firstDataRow="1" firstDataCol="1"/>
  <pivotFields count="10">
    <pivotField showAll="0"/>
    <pivotField showAll="0"/>
    <pivotField showAll="0"/>
    <pivotField axis="axisRow" showAll="0" measureFilter="1" sortType="descending">
      <items count="3"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Sum of إجمالي الفاتورة" fld="6" baseField="0" baseItem="0"/>
  </dataFields>
  <pivotTableStyleInfo name="PivotStyleLight16" showRowHeaders="1" showColHeaders="1" showRowStripes="0" showColStripes="0" showLastColumn="1"/>
  <filters count="1">
    <filter fld="3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E652331-C6E5-4C2D-9F32-E875FB94987A}" name="tblPurchaseItems" displayName="tblPurchaseItems" ref="A47:H62" totalsRowShown="0" headerRowDxfId="100" dataDxfId="99">
  <autoFilter ref="A47:H62" xr:uid="{6E652331-C6E5-4C2D-9F32-E875FB94987A}"/>
  <tableColumns count="8">
    <tableColumn id="1" xr3:uid="{BCE4F7CA-4F0B-4E18-95A1-6E5CAC69E7AD}" name="الصنف" dataDxfId="98"/>
    <tableColumn id="2" xr3:uid="{43ABC1D3-BEA2-4F21-8B72-0EAE823E8708}" name="الكود" dataDxfId="97">
      <calculatedColumnFormula>IF(tblPurchaseItems[[#This Row],[الصنف]]="","",_xlfn.XLOOKUP(tblPurchaseItems[[#This Row],[الصنف]],tblItems[اسم الصنف],tblItems[كود الصنف],""))</calculatedColumnFormula>
    </tableColumn>
    <tableColumn id="3" xr3:uid="{897F117C-769E-42E3-BB18-F88539A5099C}" name="الوحدة" dataDxfId="96">
      <calculatedColumnFormula>IF(tblPurchaseItems[[#This Row],[الصنف]]="","",_xlfn.XLOOKUP(tblPurchaseItems[[#This Row],[الصنف]],tblItems[اسم الصنف],tblItems[الوحدة],""))</calculatedColumnFormula>
    </tableColumn>
    <tableColumn id="4" xr3:uid="{BF9C6403-DDB1-4734-B896-5C1A2046F1EE}" name="الكمية" dataDxfId="95"/>
    <tableColumn id="5" xr3:uid="{96799814-230F-4F8B-AB77-E94D6065B509}" name="سعر الوحدة" dataDxfId="94">
      <calculatedColumnFormula>IF(tblPurchaseItems[[#This Row],[الصنف]]="","",_xlfn.XLOOKUP(tblPurchaseItems[[#This Row],[الصنف]],tblItems[اسم الصنف],tblItems[آخر سعر شراء],""))</calculatedColumnFormula>
    </tableColumn>
    <tableColumn id="6" xr3:uid="{FCD3F93B-C944-493E-861C-77A638EB5592}" name="الخصم %" dataDxfId="93"/>
    <tableColumn id="7" xr3:uid="{09B5F1D7-98B9-4FBA-8F3B-4B41CA5CD32F}" name="الضريبة %" dataDxfId="92"/>
    <tableColumn id="8" xr3:uid="{5F03BC9C-F40E-484B-A523-73AE4B37B900}" name="الإجمالي" dataDxfId="91">
      <calculatedColumnFormula>IF(OR(tblPurchaseItems[[#This Row],[الصنف]]="",tblPurchaseItems[[#This Row],[الكمية]]="",tblPurchaseItems[[#This Row],[سعر الوحدة]]=""),"",tblPurchaseItems[[#This Row],[الكمية]]*tblPurchaseItems[[#This Row],[سعر الوحدة]]*(1-IF(tblPurchaseItems[[#This Row],[الخصم %]]="",0,tblPurchaseItems[[#This Row],[الخصم %]]))*(1+IF(tblPurchaseItems[[#This Row],[الضريبة %]]="",0,tblPurchaseItems[[#This Row],[الضريبة %]])))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298EEEA5-8BEC-4926-8AB6-CBD603AA068E}" name="tblPurchaseRegister" displayName="tblPurchaseRegister" ref="A1:J60" totalsRowShown="0" headerRowDxfId="90" dataDxfId="89">
  <autoFilter ref="A1:J60" xr:uid="{298EEEA5-8BEC-4926-8AB6-CBD603AA068E}"/>
  <tableColumns count="10">
    <tableColumn id="1" xr3:uid="{CB0FBDC1-272E-43D1-BC63-DF2FDC40737B}" name="رقم العملية" dataDxfId="88">
      <calculatedColumnFormula>"PUR-"&amp;TEXT(ROWS(tblPurchaseRegister[[#Headers],[رقم العملية]]:tblPurchaseRegister[[#This Row],[رقم العملية]]),"000000")</calculatedColumnFormula>
    </tableColumn>
    <tableColumn id="2" xr3:uid="{F81E5993-D62E-407E-9C16-0A01F4FB4A81}" name="تاريخ الشراء" dataDxfId="87"/>
    <tableColumn id="3" xr3:uid="{16DAEEC6-A91A-4EA2-BE4D-D0DF38ADAE0B}" name="رقم الفاتورة" dataDxfId="86"/>
    <tableColumn id="4" xr3:uid="{3E381E04-F526-4A59-B593-4FE5A1320149}" name="المورد" dataDxfId="85"/>
    <tableColumn id="5" xr3:uid="{254B1B50-805F-4DFE-9EA7-54BF2A544463}" name="المشروع" dataDxfId="84"/>
    <tableColumn id="6" xr3:uid="{F5B4802D-8B0C-4568-9274-DDD3E35C9812}" name="العميل" dataDxfId="83"/>
    <tableColumn id="7" xr3:uid="{66A06729-DD3B-44AA-8DE4-C306ADE838C4}" name="إجمالي الفاتورة" dataDxfId="82"/>
    <tableColumn id="8" xr3:uid="{B65FACDB-4303-401D-BC6C-CA2D0139635D}" name="طريقة الدفع" dataDxfId="81"/>
    <tableColumn id="9" xr3:uid="{FDCEFBC1-0C8C-4826-892D-A1894384E46A}" name="حالة الدفع" dataDxfId="80"/>
    <tableColumn id="10" xr3:uid="{9A6560FA-46E4-4413-A213-F5BA259BC867}" name="ملاحظات" dataDxfId="79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79E4C01-72B6-4837-9CB4-D54109D66AE2}" name="tblPriceHistory" displayName="tblPriceHistory" ref="A1:O35" totalsRowShown="0" headerRowDxfId="78" dataDxfId="76" headerRowBorderDxfId="77">
  <autoFilter ref="A1:O35" xr:uid="{279E4C01-72B6-4837-9CB4-D54109D66AE2}"/>
  <tableColumns count="15">
    <tableColumn id="1" xr3:uid="{88CF1A2F-5035-4D68-9BA1-D79D7469EC9A}" name="رقم السجل" dataDxfId="75">
      <calculatedColumnFormula>ROWS(tblPriceHistory[[#Headers],[رقم السجل]]:tblPriceHistory[[#This Row],[رقم السجل]])</calculatedColumnFormula>
    </tableColumn>
    <tableColumn id="2" xr3:uid="{A6F28E64-B3DB-4FD3-9C60-BFAF0353B18E}" name="التاريخ" dataDxfId="74"/>
    <tableColumn id="3" xr3:uid="{D3CFB8D9-2E1F-4226-9B43-F7916D7950F7}" name="رقم أمر الشراء" dataDxfId="73"/>
    <tableColumn id="4" xr3:uid="{E81757CA-7927-4978-B727-2A67513B428B}" name="رقم الفاتورة" dataDxfId="72"/>
    <tableColumn id="5" xr3:uid="{AB83AAED-AFF5-4FE3-84DC-96E839C4F47A}" name="كود الصنف" dataDxfId="71"/>
    <tableColumn id="6" xr3:uid="{CC5BA92E-A813-4BC6-B15E-23A2E4434DDB}" name="اسم الصنف" dataDxfId="70"/>
    <tableColumn id="7" xr3:uid="{F8274172-654B-4A3E-BCE6-480DF47BE056}" name="المورد" dataDxfId="69"/>
    <tableColumn id="8" xr3:uid="{6F8F09DC-D50E-4E9D-9C8F-E76DBF8BD4C9}" name="المشروع" dataDxfId="68"/>
    <tableColumn id="9" xr3:uid="{A7ACA4FF-B1DA-42B1-8090-30E127F1AD0E}" name="الكمية" dataDxfId="67"/>
    <tableColumn id="10" xr3:uid="{6E55AEF8-BECF-482C-97CA-D6B595E9341E}" name="الوحدة" dataDxfId="66"/>
    <tableColumn id="11" xr3:uid="{B0D92E8D-EDF2-4298-8220-4C792D2FED00}" name="سعر الوحدة" dataDxfId="65"/>
    <tableColumn id="12" xr3:uid="{EE827E07-5959-45A9-9476-C111637F13EB}" name="الخصم" dataDxfId="64"/>
    <tableColumn id="13" xr3:uid="{A2F1CA96-DD3D-4660-8A28-CD0EF460D37C}" name="الضريبة" dataDxfId="63"/>
    <tableColumn id="14" xr3:uid="{08DC7A0E-6E20-4183-929B-B9BD6E4C2E67}" name="السعر النهائي" dataDxfId="62"/>
    <tableColumn id="15" xr3:uid="{0585A5A0-7E0E-474D-841D-87FDB54A881D}" name="الموظف" dataDxfId="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3D4C4A0-E32D-4D3D-83EB-1ABC2AF1F5A8}" name="tblPayments" displayName="tblPayments" ref="A1:K67" totalsRowShown="0" headerRowDxfId="59" dataDxfId="58">
  <autoFilter ref="A1:K67" xr:uid="{43D4C4A0-E32D-4D3D-83EB-1ABC2AF1F5A8}"/>
  <tableColumns count="11">
    <tableColumn id="1" xr3:uid="{39C62170-AB2E-48CB-8F50-4ADD15DD272C}" name="رقم الدفعة " dataDxfId="57">
      <calculatedColumnFormula array="1">IF(tblPayments[[#This Row],[رقم العملية]]="","","PAY-"&amp;TEXT(ROW()-ROW(tblPayments[#Headers]),"000000"))</calculatedColumnFormula>
    </tableColumn>
    <tableColumn id="2" xr3:uid="{E5A2202D-DB69-41B8-B391-B83A8444B6AE}" name="تاريخ الدفع" dataDxfId="56"/>
    <tableColumn id="3" xr3:uid="{77029D94-DFE9-4165-92E1-BDDEAF913F0D}" name="رقم العملية" dataDxfId="55"/>
    <tableColumn id="4" xr3:uid="{5B8E6891-8860-4937-B708-C39B0F8FF339}" name="رقم الفاتورة " dataDxfId="54">
      <calculatedColumnFormula>IF(tblPayments[[#This Row],[رقم العملية]]="","",_xlfn.XLOOKUP(tblPayments[[#This Row],[رقم العملية]],tblPurchaseRegister[رقم العملية],tblPurchaseRegister[رقم الفاتورة],""))</calculatedColumnFormula>
    </tableColumn>
    <tableColumn id="5" xr3:uid="{6DCF9822-A519-4E47-BE6A-215E186DD060}" name=" المورد" dataDxfId="53">
      <calculatedColumnFormula>IF(tblPayments[[#This Row],[رقم العملية]]="","",_xlfn.XLOOKUP(tblPayments[[#This Row],[رقم العملية]],tblPurchaseRegister[رقم العملية],tblPurchaseRegister[المورد],""))</calculatedColumnFormula>
    </tableColumn>
    <tableColumn id="6" xr3:uid="{D4A414FA-9916-41FC-AED8-20786DBDA9D8}" name="إجمالي الفاتورة" dataDxfId="52">
      <calculatedColumnFormula>IF(tblPayments[[#This Row],[رقم العملية]]="","",_xlfn.XLOOKUP(tblPayments[[#This Row],[رقم العملية]],tblPurchaseRegister[رقم العملية],tblPurchaseRegister[إجمالي الفاتورة],0))</calculatedColumnFormula>
    </tableColumn>
    <tableColumn id="7" xr3:uid="{B20FE406-80BD-4B99-8CFD-B2AC572FD7A5}" name="المبلغ المدفوع" dataDxfId="51"/>
    <tableColumn id="8" xr3:uid="{03EB0FA7-21F7-4555-8FCA-3ABA6B1361F5}" name="المتبقي" dataDxfId="50">
      <calculatedColumnFormula>IF(tblPayments[[#This Row],[رقم العملية]]="","",MAX(0,tblPayments[[#This Row],[إجمالي الفاتورة]]-tblPayments[[#This Row],[المبلغ المدفوع]]))</calculatedColumnFormula>
    </tableColumn>
    <tableColumn id="9" xr3:uid="{D3FD31E1-9E08-4EA5-AB6E-A40148A8576D}" name="طريقة الدفع" dataDxfId="49"/>
    <tableColumn id="10" xr3:uid="{DAF00048-E3C6-419C-9C9D-8434A3547DF2}" name="حالة الدفع" dataDxfId="48">
      <calculatedColumnFormula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calculatedColumnFormula>
    </tableColumn>
    <tableColumn id="11" xr3:uid="{57D8549C-83D4-40B0-B159-B4FCF06D919B}" name="ملاحظات" dataDxfId="4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Suppliers" displayName="tblSuppliers" ref="A2:O60" headerRowDxfId="46" dataDxfId="45" totalsRowDxfId="44">
  <autoFilter ref="A2:O60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000-000001000000}" name="كود المورد" dataDxfId="43"/>
    <tableColumn id="2" xr3:uid="{00000000-0010-0000-0000-000002000000}" name="اسم المورد" dataDxfId="42"/>
    <tableColumn id="3" xr3:uid="{00000000-0010-0000-0000-000003000000}" name="التخصص" dataDxfId="41"/>
    <tableColumn id="4" xr3:uid="{00000000-0010-0000-0000-000004000000}" name="المحافظة" dataDxfId="40"/>
    <tableColumn id="5" xr3:uid="{00000000-0010-0000-0000-000005000000}" name="المدينة" dataDxfId="39"/>
    <tableColumn id="6" xr3:uid="{00000000-0010-0000-0000-000006000000}" name="العنوان" dataDxfId="38"/>
    <tableColumn id="7" xr3:uid="{00000000-0010-0000-0000-000007000000}" name="مسؤول التواصل" dataDxfId="37"/>
    <tableColumn id="8" xr3:uid="{00000000-0010-0000-0000-000008000000}" name="رقم الهاتف" dataDxfId="36"/>
    <tableColumn id="9" xr3:uid="{00000000-0010-0000-0000-000009000000}" name="واتساب" dataDxfId="35"/>
    <tableColumn id="10" xr3:uid="{00000000-0010-0000-0000-00000A000000}" name="البريد الإلكتروني" dataDxfId="34"/>
    <tableColumn id="11" xr3:uid="{00000000-0010-0000-0000-00000B000000}" name="شروط الدفع" dataDxfId="33"/>
    <tableColumn id="12" xr3:uid="{00000000-0010-0000-0000-00000C000000}" name="مدة التوريد بالأيام" dataDxfId="32"/>
    <tableColumn id="13" xr3:uid="{00000000-0010-0000-0000-00000D000000}" name="تقييم المورد" dataDxfId="31"/>
    <tableColumn id="14" xr3:uid="{00000000-0010-0000-0000-00000E000000}" name="الحالة" dataDxfId="30"/>
    <tableColumn id="15" xr3:uid="{00000000-0010-0000-0000-00000F000000}" name="ملاحظات" dataDxfId="29"/>
  </tableColumns>
  <tableStyleInfo name="TableStyleMedium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Projects" displayName="tblProjects" ref="A2:L15">
  <autoFilter ref="A2:L15" xr:uid="{00000000-0009-0000-0100-000003000000}"/>
  <tableColumns count="12">
    <tableColumn id="1" xr3:uid="{00000000-0010-0000-0200-000001000000}" name="كود المشروع"/>
    <tableColumn id="2" xr3:uid="{00000000-0010-0000-0200-000002000000}" name="اسم المشروع"/>
    <tableColumn id="3" xr3:uid="{00000000-0010-0000-0200-000003000000}" name="العميل"/>
    <tableColumn id="4" xr3:uid="{00000000-0010-0000-0200-000004000000}" name="المحافظة"/>
    <tableColumn id="5" xr3:uid="{00000000-0010-0000-0200-000005000000}" name="المدينة"/>
    <tableColumn id="6" xr3:uid="{00000000-0010-0000-0200-000006000000}" name="العنوان"/>
    <tableColumn id="7" xr3:uid="{00000000-0010-0000-0200-000007000000}" name="المهندس المسؤول"/>
    <tableColumn id="8" xr3:uid="{00000000-0010-0000-0200-000008000000}" name="تاريخ البدء" dataDxfId="28"/>
    <tableColumn id="9" xr3:uid="{00000000-0010-0000-0200-000009000000}" name="تاريخ الانتهاء المتوقع" dataDxfId="27"/>
    <tableColumn id="10" xr3:uid="{00000000-0010-0000-0200-00000A000000}" name="الميزانية"/>
    <tableColumn id="11" xr3:uid="{00000000-0010-0000-0200-00000B000000}" name="حالة المشروع"/>
    <tableColumn id="12" xr3:uid="{00000000-0010-0000-0200-00000C000000}" name="ملاحظات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Items" displayName="tblItems" ref="A2:L27" headerRowDxfId="26" dataDxfId="25" totalsRowDxfId="24">
  <autoFilter ref="A2:L27" xr:uid="{00000000-0009-0000-0100-000002000000}"/>
  <tableColumns count="12">
    <tableColumn id="1" xr3:uid="{00000000-0010-0000-0100-000001000000}" name="كود الصنف" dataDxfId="23"/>
    <tableColumn id="2" xr3:uid="{00000000-0010-0000-0100-000002000000}" name="اسم الصنف" dataDxfId="22"/>
    <tableColumn id="3" xr3:uid="{00000000-0010-0000-0100-000003000000}" name="التصنيف" dataDxfId="21"/>
    <tableColumn id="4" xr3:uid="{00000000-0010-0000-0100-000004000000}" name="الوحدة" dataDxfId="20"/>
    <tableColumn id="5" xr3:uid="{00000000-0010-0000-0100-000005000000}" name="المواصفات" dataDxfId="19"/>
    <tableColumn id="6" xr3:uid="{00000000-0010-0000-0100-000006000000}" name="المورد المفضل" dataDxfId="18">
      <calculatedColumnFormula array="1">IFERROR(LOOKUP(2,1/(tblPriceHistory[كود الصنف]=tblItems[[#This Row],[كود الصنف]]),tblPriceHistory[المورد]),"")</calculatedColumnFormula>
    </tableColumn>
    <tableColumn id="7" xr3:uid="{00000000-0010-0000-0100-000007000000}" name="آخر سعر شراء" dataDxfId="17">
      <calculatedColumnFormula array="1">IFERROR(LOOKUP(2,1/(tblPriceHistory[كود الصنف]=tblItems[[#This Row],[كود الصنف]]),tblPriceHistory[سعر الوحدة]),"")</calculatedColumnFormula>
    </tableColumn>
    <tableColumn id="8" xr3:uid="{00000000-0010-0000-0100-000008000000}" name="آخر تاريخ شراء" dataDxfId="16">
      <calculatedColumnFormula>IFERROR(_xlfn.MAXIFS(tblPriceHistory[التاريخ],tblPriceHistory[كود الصنف],tblItems[[#This Row],[كود الصنف]]),"")</calculatedColumnFormula>
    </tableColumn>
    <tableColumn id="9" xr3:uid="{00000000-0010-0000-0100-000009000000}" name="عدد مرات الشراء" dataDxfId="15">
      <calculatedColumnFormula>IFERROR(COUNTIFS(tblPriceHistory[كود الصنف],tblItems[[#This Row],[كود الصنف]]),0)</calculatedColumnFormula>
    </tableColumn>
    <tableColumn id="10" xr3:uid="{00000000-0010-0000-0100-00000A000000}" name="إجمالي الكمية" dataDxfId="14">
      <calculatedColumnFormula>IFERROR(SUMIFS(tblPriceHistory[الكمية],tblPriceHistory[كود الصنف],tblItems[[#This Row],[كود الصنف]]),0)</calculatedColumnFormula>
    </tableColumn>
    <tableColumn id="11" xr3:uid="{00000000-0010-0000-0100-00000B000000}" name="إجمالي قيمة الشراء" dataDxfId="13">
      <calculatedColumnFormula>IFERROR(SUMIFS(tblPriceHistory[السعر النهائي],tblPriceHistory[كود الصنف],tblItems[[#This Row],[كود الصنف]]),0)</calculatedColumnFormula>
    </tableColumn>
    <tableColumn id="12" xr3:uid="{00000000-0010-0000-0100-00000C000000}" name="ملاحظات" dataDxfId="1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Customers" displayName="tblCustomers" ref="A2:K15">
  <autoFilter ref="A2:K15" xr:uid="{00000000-0009-0000-0100-000004000000}"/>
  <tableColumns count="11">
    <tableColumn id="1" xr3:uid="{00000000-0010-0000-0300-000001000000}" name="كود العميل"/>
    <tableColumn id="2" xr3:uid="{00000000-0010-0000-0300-000002000000}" name="اسم العميل"/>
    <tableColumn id="3" xr3:uid="{00000000-0010-0000-0300-000003000000}" name="مسؤول التواصل"/>
    <tableColumn id="4" xr3:uid="{00000000-0010-0000-0300-000004000000}" name="رقم الهاتف"/>
    <tableColumn id="5" xr3:uid="{00000000-0010-0000-0300-000005000000}" name="واتساب"/>
    <tableColumn id="6" xr3:uid="{00000000-0010-0000-0300-000006000000}" name="البريد الإلكتروني" dataCellStyle="Hyperlink"/>
    <tableColumn id="7" xr3:uid="{00000000-0010-0000-0300-000007000000}" name="المحافظة"/>
    <tableColumn id="8" xr3:uid="{00000000-0010-0000-0300-000008000000}" name="المدينة"/>
    <tableColumn id="9" xr3:uid="{00000000-0010-0000-0300-000009000000}" name="العنوان"/>
    <tableColumn id="10" xr3:uid="{00000000-0010-0000-0300-00000A000000}" name="الحالة"/>
    <tableColumn id="11" xr3:uid="{00000000-0010-0000-0300-00000B000000}" name="ملاحظات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PurchaseStatus" displayName="tblPurchaseStatus" ref="A1:A6" dataDxfId="11">
  <autoFilter ref="A1:A6" xr:uid="{00000000-0009-0000-0100-000005000000}">
    <filterColumn colId="0" hiddenButton="1"/>
  </autoFilter>
  <tableColumns count="1">
    <tableColumn id="1" xr3:uid="{00000000-0010-0000-0400-000001000000}" name="Purchase Status" dataDxfId="1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PurchaseType" displayName="tblPurchaseType" ref="B1:C6">
  <autoFilter ref="B1:C6" xr:uid="{00000000-0009-0000-0100-000006000000}"/>
  <tableColumns count="2">
    <tableColumn id="3" xr3:uid="{00000000-0010-0000-0500-000003000000}" name="Purchase Type"/>
    <tableColumn id="1" xr3:uid="{516D367C-43AD-43B2-A0CB-6DE2CFE107E7}" name="Currency" dataDxfId="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Currencies" displayName="tblCurrencies" ref="D1:D6">
  <autoFilter ref="D1:D6" xr:uid="{00000000-0009-0000-0100-000007000000}">
    <filterColumn colId="0" hiddenButton="1"/>
  </autoFilter>
  <tableColumns count="1">
    <tableColumn id="5" xr3:uid="{00000000-0010-0000-0600-000005000000}" name="Currency" dataDxfId="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VATRates" displayName="tblVATRates" ref="F1:F6">
  <autoFilter ref="F1:F6" xr:uid="{00000000-0009-0000-0100-000009000000}"/>
  <tableColumns count="1">
    <tableColumn id="9" xr3:uid="{00000000-0010-0000-0800-000009000000}" name="VAT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Units" displayName="tblUnits" ref="G1:G10">
  <autoFilter ref="G1:G10" xr:uid="{00000000-0009-0000-0100-00000A000000}">
    <filterColumn colId="0" hiddenButton="1"/>
  </autoFilter>
  <tableColumns count="1">
    <tableColumn id="11" xr3:uid="{00000000-0010-0000-0900-00000B000000}" name="Units" dataDxfId="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SupplierCategories" displayName="tblSupplierCategories" ref="H1:H8">
  <autoFilter ref="H1:H8" xr:uid="{00000000-0009-0000-0100-00000B000000}"/>
  <tableColumns count="1">
    <tableColumn id="13" xr3:uid="{00000000-0010-0000-0A00-00000D000000}" name="Supplier Category" dataDxfId="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ProjectStatus" displayName="tblProjectStatus" ref="I1:I6" dataDxfId="5">
  <autoFilter ref="I1:I6" xr:uid="{00000000-0009-0000-0100-00000C000000}"/>
  <tableColumns count="1">
    <tableColumn id="15" xr3:uid="{00000000-0010-0000-0B00-00000F000000}" name="Project Status" dataDxfId="4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DeliveryStatus" displayName="tblDeliveryStatus" ref="J1:J6">
  <autoFilter ref="J1:J6" xr:uid="{00000000-0009-0000-0100-00000D000000}"/>
  <tableColumns count="1">
    <tableColumn id="17" xr3:uid="{00000000-0010-0000-0C00-000011000000}" name="Delivery Statu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blPriority" displayName="tblPriority" ref="K1:K5">
  <autoFilter ref="K1:K5" xr:uid="{00000000-0009-0000-0100-00000E000000}">
    <filterColumn colId="0" hiddenButton="1"/>
  </autoFilter>
  <tableColumns count="1">
    <tableColumn id="19" xr3:uid="{00000000-0010-0000-0D00-000013000000}" name="Priority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blGovernorates" displayName="tblGovernorates" ref="L1:L4">
  <autoFilter ref="L1:L4" xr:uid="{00000000-0009-0000-0100-00000F000000}">
    <filterColumn colId="0" hiddenButton="1"/>
  </autoFilter>
  <tableColumns count="1">
    <tableColumn id="21" xr3:uid="{00000000-0010-0000-0E00-000015000000}" name="Governorates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blRecordStatus" displayName="tblRecordStatus" ref="M1:M3">
  <autoFilter ref="M1:M3" xr:uid="{00000000-0009-0000-0100-000010000000}"/>
  <tableColumns count="1">
    <tableColumn id="23" xr3:uid="{00000000-0010-0000-0F00-000017000000}" name="حالة السجل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PaymentMethods" displayName="tblPaymentMethods" ref="E1:E6" headerRowDxfId="3" dataDxfId="2" totalsRowDxfId="1">
  <autoFilter ref="E1:E6" xr:uid="{00000000-000C-0000-FFFF-FFFF07000000}"/>
  <tableColumns count="1">
    <tableColumn id="7" xr3:uid="{00000000-0010-0000-0700-000007000000}" name="PaymentMethod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into@gmail.com" TargetMode="External"/><Relationship Id="rId13" Type="http://schemas.openxmlformats.org/officeDocument/2006/relationships/hyperlink" Target="mailto:into@gmail.com" TargetMode="External"/><Relationship Id="rId18" Type="http://schemas.openxmlformats.org/officeDocument/2006/relationships/table" Target="../tables/table5.xml"/><Relationship Id="rId3" Type="http://schemas.openxmlformats.org/officeDocument/2006/relationships/hyperlink" Target="mailto:into@gmail.com" TargetMode="External"/><Relationship Id="rId7" Type="http://schemas.openxmlformats.org/officeDocument/2006/relationships/hyperlink" Target="mailto:into@gmail.com" TargetMode="External"/><Relationship Id="rId12" Type="http://schemas.openxmlformats.org/officeDocument/2006/relationships/hyperlink" Target="mailto:into@gmail.com" TargetMode="External"/><Relationship Id="rId17" Type="http://schemas.openxmlformats.org/officeDocument/2006/relationships/printerSettings" Target="../printerSettings/printerSettings5.bin"/><Relationship Id="rId2" Type="http://schemas.openxmlformats.org/officeDocument/2006/relationships/hyperlink" Target="mailto:into@gmail.com" TargetMode="External"/><Relationship Id="rId16" Type="http://schemas.openxmlformats.org/officeDocument/2006/relationships/hyperlink" Target="mailto:gmaiteldewal@orientalweavers" TargetMode="External"/><Relationship Id="rId1" Type="http://schemas.openxmlformats.org/officeDocument/2006/relationships/hyperlink" Target="mailto:into@gmail.com" TargetMode="External"/><Relationship Id="rId6" Type="http://schemas.openxmlformats.org/officeDocument/2006/relationships/hyperlink" Target="mailto:into@gmail.com" TargetMode="External"/><Relationship Id="rId11" Type="http://schemas.openxmlformats.org/officeDocument/2006/relationships/hyperlink" Target="mailto:into@gmail.com" TargetMode="External"/><Relationship Id="rId5" Type="http://schemas.openxmlformats.org/officeDocument/2006/relationships/hyperlink" Target="mailto:into@gmail.com" TargetMode="External"/><Relationship Id="rId15" Type="http://schemas.openxmlformats.org/officeDocument/2006/relationships/hyperlink" Target="mailto:into@gmail.com" TargetMode="External"/><Relationship Id="rId10" Type="http://schemas.openxmlformats.org/officeDocument/2006/relationships/hyperlink" Target="mailto:into@gmail.com" TargetMode="External"/><Relationship Id="rId4" Type="http://schemas.openxmlformats.org/officeDocument/2006/relationships/hyperlink" Target="mailto:into@gmail.com" TargetMode="External"/><Relationship Id="rId9" Type="http://schemas.openxmlformats.org/officeDocument/2006/relationships/hyperlink" Target="http://www.forbed.com/" TargetMode="External"/><Relationship Id="rId14" Type="http://schemas.openxmlformats.org/officeDocument/2006/relationships/hyperlink" Target="mailto:into@gmail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mailto:mostafa.mahmud182@icloud.com" TargetMode="External"/><Relationship Id="rId1" Type="http://schemas.openxmlformats.org/officeDocument/2006/relationships/hyperlink" Target="mailto:mostafa.mahmoud1822002@gmail.com" TargetMode="External"/><Relationship Id="rId4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12" Type="http://schemas.openxmlformats.org/officeDocument/2006/relationships/table" Target="../tables/table20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 tint="0.39997558519241921"/>
  </sheetPr>
  <dimension ref="A1:V71"/>
  <sheetViews>
    <sheetView showGridLines="0" rightToLeft="1" view="pageBreakPreview" topLeftCell="A13" zoomScale="55" zoomScaleNormal="55" zoomScaleSheetLayoutView="55" workbookViewId="0">
      <selection activeCell="A49" sqref="A49"/>
    </sheetView>
  </sheetViews>
  <sheetFormatPr defaultRowHeight="28.8" x14ac:dyDescent="0.25"/>
  <cols>
    <col min="1" max="5" width="25.8984375" style="21" customWidth="1"/>
    <col min="6" max="7" width="25.8984375" style="22" customWidth="1"/>
    <col min="8" max="8" width="25.8984375" style="21" customWidth="1"/>
    <col min="9" max="9" width="18.69921875" style="21" customWidth="1"/>
    <col min="10" max="10" width="20" style="21" customWidth="1"/>
    <col min="11" max="11" width="30.59765625" style="21" bestFit="1" customWidth="1"/>
    <col min="12" max="12" width="25" style="21" customWidth="1"/>
    <col min="13" max="13" width="20" style="21" customWidth="1"/>
    <col min="14" max="16" width="20.69921875" style="21" customWidth="1"/>
    <col min="17" max="16384" width="8.796875" style="21"/>
  </cols>
  <sheetData>
    <row r="1" spans="1:22" ht="35.4" customHeight="1" x14ac:dyDescent="0.25">
      <c r="A1" s="117" t="s">
        <v>0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</row>
    <row r="2" spans="1:22" ht="35.4" customHeight="1" x14ac:dyDescent="0.25">
      <c r="A2" s="118"/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</row>
    <row r="3" spans="1:22" ht="35.4" customHeight="1" x14ac:dyDescent="0.25">
      <c r="A3" s="118"/>
      <c r="B3" s="118"/>
      <c r="C3" s="118"/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</row>
    <row r="4" spans="1:22" ht="35.4" customHeight="1" x14ac:dyDescent="0.25">
      <c r="A4" s="118"/>
      <c r="B4" s="118"/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</row>
    <row r="5" spans="1:22" ht="35.4" customHeight="1" x14ac:dyDescent="0.25">
      <c r="A5" s="118"/>
      <c r="B5" s="118"/>
      <c r="C5" s="118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8"/>
      <c r="P5" s="118"/>
    </row>
    <row r="6" spans="1:22" ht="35.4" customHeight="1" x14ac:dyDescent="0.25"/>
    <row r="8" spans="1:22" x14ac:dyDescent="0.25">
      <c r="A8" s="119" t="s">
        <v>1</v>
      </c>
      <c r="B8" s="120"/>
      <c r="C8" s="120"/>
      <c r="D8" s="120"/>
      <c r="E8" s="120"/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23"/>
      <c r="R8" s="24"/>
      <c r="S8" s="24"/>
      <c r="T8" s="24"/>
      <c r="U8" s="24"/>
      <c r="V8" s="24"/>
    </row>
    <row r="9" spans="1:22" x14ac:dyDescent="0.25">
      <c r="Q9" s="24"/>
      <c r="R9" s="24"/>
      <c r="S9" s="24"/>
      <c r="T9" s="24"/>
      <c r="U9" s="24"/>
      <c r="V9" s="24"/>
    </row>
    <row r="10" spans="1:22" x14ac:dyDescent="0.25">
      <c r="A10" s="25" t="s">
        <v>2</v>
      </c>
      <c r="B10" s="122"/>
      <c r="C10" s="122"/>
      <c r="D10" s="122"/>
      <c r="E10" s="122"/>
      <c r="F10" s="26" t="s">
        <v>3</v>
      </c>
      <c r="G10" s="121"/>
      <c r="H10" s="121"/>
      <c r="I10" s="121"/>
      <c r="J10" s="121"/>
      <c r="K10" s="25" t="s">
        <v>4</v>
      </c>
      <c r="L10" s="122" t="s">
        <v>97</v>
      </c>
      <c r="M10" s="122"/>
      <c r="N10" s="122"/>
      <c r="O10" s="27"/>
      <c r="Q10" s="24"/>
      <c r="R10" s="24"/>
      <c r="S10" s="24"/>
      <c r="T10" s="24"/>
      <c r="U10" s="24"/>
      <c r="V10" s="24"/>
    </row>
    <row r="11" spans="1:22" x14ac:dyDescent="0.25">
      <c r="K11" s="28"/>
      <c r="Q11" s="24"/>
      <c r="R11" s="24"/>
      <c r="S11" s="24"/>
      <c r="T11" s="24"/>
      <c r="U11" s="24"/>
      <c r="V11" s="24"/>
    </row>
    <row r="12" spans="1:22" x14ac:dyDescent="0.25">
      <c r="A12" s="25" t="s">
        <v>5</v>
      </c>
      <c r="B12" s="122" t="s">
        <v>156</v>
      </c>
      <c r="C12" s="122"/>
      <c r="D12" s="122"/>
      <c r="E12" s="122"/>
      <c r="F12" s="26" t="s">
        <v>6</v>
      </c>
      <c r="G12" s="122" t="s">
        <v>72</v>
      </c>
      <c r="H12" s="122"/>
      <c r="I12" s="122"/>
      <c r="J12" s="122"/>
      <c r="K12" s="29" t="s">
        <v>7</v>
      </c>
      <c r="L12" s="122"/>
      <c r="M12" s="122"/>
      <c r="N12" s="122"/>
      <c r="Q12" s="24"/>
      <c r="R12" s="24"/>
      <c r="S12" s="24"/>
      <c r="T12" s="24"/>
      <c r="U12" s="24"/>
      <c r="V12" s="24"/>
    </row>
    <row r="13" spans="1:22" x14ac:dyDescent="0.25">
      <c r="K13" s="27"/>
      <c r="Q13" s="24"/>
      <c r="R13" s="24"/>
      <c r="S13" s="24"/>
      <c r="T13" s="24"/>
      <c r="U13" s="24"/>
      <c r="V13" s="24"/>
    </row>
    <row r="14" spans="1:22" x14ac:dyDescent="0.25">
      <c r="A14" s="29" t="s">
        <v>8</v>
      </c>
      <c r="B14" s="122"/>
      <c r="C14" s="122"/>
      <c r="D14" s="122"/>
      <c r="E14" s="122"/>
      <c r="F14" s="30" t="s">
        <v>9</v>
      </c>
      <c r="G14" s="123">
        <v>46222</v>
      </c>
      <c r="H14" s="122"/>
      <c r="I14" s="122"/>
      <c r="J14" s="122"/>
      <c r="K14" s="29" t="s">
        <v>10</v>
      </c>
      <c r="L14" s="122" t="s">
        <v>156</v>
      </c>
      <c r="M14" s="122"/>
      <c r="N14" s="122"/>
      <c r="Q14" s="24"/>
      <c r="R14" s="24"/>
      <c r="S14" s="24"/>
      <c r="T14" s="24"/>
      <c r="U14" s="24"/>
      <c r="V14" s="24"/>
    </row>
    <row r="15" spans="1:22" x14ac:dyDescent="0.25">
      <c r="A15" s="27"/>
      <c r="F15" s="31"/>
      <c r="K15" s="27"/>
      <c r="Q15" s="24"/>
      <c r="R15" s="24"/>
      <c r="S15" s="24"/>
      <c r="T15" s="24"/>
      <c r="U15" s="24"/>
      <c r="V15" s="24"/>
    </row>
    <row r="16" spans="1:22" x14ac:dyDescent="0.25">
      <c r="Q16" s="24"/>
      <c r="R16" s="24"/>
      <c r="S16" s="24"/>
      <c r="T16" s="24"/>
      <c r="U16" s="24"/>
      <c r="V16" s="24"/>
    </row>
    <row r="17" spans="1:22" x14ac:dyDescent="0.25">
      <c r="Q17" s="24"/>
      <c r="R17" s="24"/>
      <c r="S17" s="24"/>
      <c r="T17" s="24"/>
      <c r="U17" s="24"/>
      <c r="V17" s="24"/>
    </row>
    <row r="18" spans="1:22" x14ac:dyDescent="0.25">
      <c r="A18" s="119" t="s">
        <v>11</v>
      </c>
      <c r="B18" s="120"/>
      <c r="C18" s="120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24"/>
      <c r="R18" s="24"/>
      <c r="S18" s="24"/>
      <c r="T18" s="24"/>
      <c r="U18" s="24"/>
      <c r="V18" s="24"/>
    </row>
    <row r="19" spans="1:22" x14ac:dyDescent="0.25">
      <c r="Q19" s="24"/>
      <c r="R19" s="24"/>
      <c r="S19" s="24"/>
      <c r="T19" s="24"/>
      <c r="U19" s="24"/>
      <c r="V19" s="24"/>
    </row>
    <row r="20" spans="1:22" x14ac:dyDescent="0.25">
      <c r="A20" s="25" t="s">
        <v>12</v>
      </c>
      <c r="B20" s="122"/>
      <c r="C20" s="122"/>
      <c r="D20" s="122"/>
      <c r="E20" s="122"/>
      <c r="F20" s="26" t="s">
        <v>13</v>
      </c>
      <c r="G20" s="122" t="str">
        <f>_xlfn.LET(_xlpm.x,_xlfn.XLOOKUP(B20,tblSuppliers[اسم المورد],tblSuppliers[كود المورد],""),IF(_xlpm.x=0,"",_xlpm.x))</f>
        <v xml:space="preserve">موردين الدهانات </v>
      </c>
      <c r="H20" s="122"/>
      <c r="I20" s="122"/>
      <c r="J20" s="122"/>
      <c r="K20" s="25" t="s">
        <v>40</v>
      </c>
      <c r="L20" s="122" t="str">
        <f>_xlfn.LET(_xlpm.x,_xlfn.XLOOKUP(B20,tblSuppliers[اسم المورد],tblSuppliers[التخصص],""),IF(_xlpm.x=0,"",_xlpm.x))</f>
        <v/>
      </c>
      <c r="M20" s="122"/>
      <c r="N20" s="122"/>
      <c r="Q20" s="24"/>
      <c r="R20" s="24"/>
      <c r="S20" s="24"/>
      <c r="T20" s="24"/>
      <c r="U20" s="24"/>
      <c r="V20" s="24"/>
    </row>
    <row r="21" spans="1:22" x14ac:dyDescent="0.25">
      <c r="E21" s="27"/>
      <c r="K21" s="32"/>
      <c r="Q21" s="24"/>
      <c r="R21" s="24"/>
      <c r="S21" s="24"/>
      <c r="T21" s="24"/>
      <c r="U21" s="24"/>
      <c r="V21" s="24"/>
    </row>
    <row r="22" spans="1:22" x14ac:dyDescent="0.25">
      <c r="A22" s="25" t="s">
        <v>14</v>
      </c>
      <c r="B22" s="122" t="str">
        <f>_xlfn.LET(_xlpm.x,_xlfn.XLOOKUP(B20,tblSuppliers[اسم المورد],tblSuppliers[مسؤول التواصل],""),IF(_xlpm.x=0,"",_xlpm.x))</f>
        <v/>
      </c>
      <c r="C22" s="122"/>
      <c r="D22" s="122"/>
      <c r="E22" s="122"/>
      <c r="F22" s="30" t="s">
        <v>15</v>
      </c>
      <c r="G22" s="122" t="str">
        <f>_xlfn.LET(_xlpm.x,_xlfn.XLOOKUP(B20,tblSuppliers[اسم المورد],tblSuppliers[رقم الهاتف],""),IF(_xlpm.x=0,"",_xlpm.x))</f>
        <v/>
      </c>
      <c r="H22" s="122"/>
      <c r="I22" s="122"/>
      <c r="J22" s="122"/>
      <c r="K22" s="25" t="s">
        <v>16</v>
      </c>
      <c r="L22" s="122" t="str">
        <f>_xlfn.LET(_xlpm.x,_xlfn.XLOOKUP(B20,tblSuppliers[اسم المورد],tblSuppliers[البريد الإلكتروني],""),IF(_xlpm.x=0,"",_xlpm.x))</f>
        <v/>
      </c>
      <c r="M22" s="122"/>
      <c r="N22" s="122"/>
      <c r="Q22" s="24"/>
      <c r="R22" s="24"/>
      <c r="S22" s="24"/>
      <c r="T22" s="24"/>
      <c r="U22" s="24"/>
      <c r="V22" s="24"/>
    </row>
    <row r="23" spans="1:22" x14ac:dyDescent="0.25">
      <c r="F23" s="33"/>
      <c r="Q23" s="24"/>
      <c r="R23" s="24"/>
      <c r="S23" s="24"/>
      <c r="T23" s="24"/>
      <c r="U23" s="24"/>
      <c r="V23" s="24"/>
    </row>
    <row r="24" spans="1:22" x14ac:dyDescent="0.25">
      <c r="A24" s="25" t="s">
        <v>17</v>
      </c>
      <c r="B24" s="122" t="str">
        <f>_xlfn.LET(_xlpm.x,_xlfn.XLOOKUP(B20,tblSuppliers[اسم المورد],tblSuppliers[شروط الدفع],""),IF(_xlpm.x=0,"",_xlpm.x))</f>
        <v/>
      </c>
      <c r="C24" s="122"/>
      <c r="D24" s="122"/>
      <c r="E24" s="122"/>
      <c r="F24" s="30" t="s">
        <v>95</v>
      </c>
      <c r="G24" s="122" t="str">
        <f>_xlfn.LET(_xlpm.x,_xlfn.XLOOKUP(B20,tblSuppliers[اسم المورد],tblSuppliers[المحافظة],""),IF(_xlpm.x=0,"",_xlpm.x))</f>
        <v/>
      </c>
      <c r="H24" s="122"/>
      <c r="I24" s="122"/>
      <c r="J24" s="122"/>
      <c r="K24" s="25" t="s">
        <v>41</v>
      </c>
      <c r="L24" s="122" t="str">
        <f>_xlfn.LET(_xlpm.x,_xlfn.XLOOKUP(B20,tblSuppliers[اسم المورد],tblSuppliers[العنوان],""),IF(_xlpm.x=0,"",_xlpm.x))</f>
        <v/>
      </c>
      <c r="M24" s="122"/>
      <c r="N24" s="122"/>
      <c r="Q24" s="24"/>
      <c r="R24" s="24"/>
      <c r="S24" s="24"/>
      <c r="T24" s="24"/>
      <c r="U24" s="24"/>
      <c r="V24" s="24"/>
    </row>
    <row r="25" spans="1:22" x14ac:dyDescent="0.25">
      <c r="F25" s="33"/>
      <c r="Q25" s="24"/>
      <c r="R25" s="24"/>
      <c r="S25" s="24"/>
      <c r="T25" s="24"/>
      <c r="U25" s="24"/>
      <c r="V25" s="24"/>
    </row>
    <row r="26" spans="1:22" x14ac:dyDescent="0.25">
      <c r="Q26" s="24"/>
      <c r="R26" s="24"/>
      <c r="S26" s="24"/>
      <c r="T26" s="24"/>
      <c r="U26" s="24"/>
      <c r="V26" s="24"/>
    </row>
    <row r="27" spans="1:22" x14ac:dyDescent="0.25">
      <c r="Q27" s="24"/>
      <c r="R27" s="24"/>
      <c r="S27" s="24"/>
      <c r="T27" s="24"/>
      <c r="U27" s="24"/>
      <c r="V27" s="24"/>
    </row>
    <row r="28" spans="1:22" ht="42.6" customHeight="1" x14ac:dyDescent="0.25">
      <c r="A28" s="119" t="s">
        <v>19</v>
      </c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24"/>
      <c r="R28" s="24"/>
      <c r="S28" s="24"/>
      <c r="T28" s="24"/>
      <c r="U28" s="24"/>
      <c r="V28" s="24"/>
    </row>
    <row r="30" spans="1:22" x14ac:dyDescent="0.25">
      <c r="A30" s="25" t="s">
        <v>20</v>
      </c>
      <c r="B30" s="122"/>
      <c r="C30" s="122"/>
      <c r="D30" s="122"/>
      <c r="E30" s="122"/>
      <c r="F30" s="26" t="s">
        <v>21</v>
      </c>
      <c r="G30" s="122" t="str">
        <f>_xlfn.LET(_xlpm.x,_xlfn.XLOOKUP(B30,tblProjects[اسم المشروع],tblProjects[كود المشروع],""),IF(_xlpm.x=0,"",_xlpm.x))</f>
        <v>prj-003</v>
      </c>
      <c r="H30" s="122"/>
      <c r="I30" s="122"/>
      <c r="J30" s="122"/>
      <c r="K30" s="29" t="s">
        <v>22</v>
      </c>
      <c r="L30" s="122" t="str">
        <f>_xlfn.LET(_xlpm.x,_xlfn.XLOOKUP(B30,tblProjects[اسم المشروع],tblProjects[المهندس المسؤول],""),IF(_xlpm.x=0,"",_xlpm.x))</f>
        <v/>
      </c>
      <c r="M30" s="122"/>
      <c r="N30" s="122"/>
    </row>
    <row r="31" spans="1:22" x14ac:dyDescent="0.25">
      <c r="K31" s="27"/>
    </row>
    <row r="32" spans="1:22" x14ac:dyDescent="0.25">
      <c r="A32" s="25" t="s">
        <v>41</v>
      </c>
      <c r="B32" s="122" t="str">
        <f>_xlfn.LET(_xlpm.x,_xlfn.XLOOKUP(B30,tblProjects[اسم المشروع],tblProjects[العنوان],""),IF(_xlpm.x=0,"",_xlpm.x))</f>
        <v/>
      </c>
      <c r="C32" s="122"/>
      <c r="D32" s="122"/>
      <c r="E32" s="122"/>
      <c r="F32" s="26" t="s">
        <v>55</v>
      </c>
      <c r="G32" s="123" t="str">
        <f>_xlfn.LET(_xlpm.x,_xlfn.XLOOKUP(B30,tblProjects[اسم المشروع],tblProjects[تاريخ البدء],""),IF(_xlpm.x=0,"",_xlpm.x))</f>
        <v/>
      </c>
      <c r="H32" s="123"/>
      <c r="I32" s="123"/>
      <c r="J32" s="123"/>
      <c r="K32" s="25" t="s">
        <v>56</v>
      </c>
      <c r="L32" s="123" t="str">
        <f>_xlfn.LET(_xlpm.x,_xlfn.XLOOKUP(B30,tblProjects[اسم المشروع],tblProjects[تاريخ الانتهاء المتوقع],""),IF(_xlpm.x=0,"",_xlpm.x))</f>
        <v/>
      </c>
      <c r="M32" s="123"/>
      <c r="N32" s="123"/>
    </row>
    <row r="33" spans="1:16" x14ac:dyDescent="0.25">
      <c r="J33" s="44"/>
    </row>
    <row r="36" spans="1:16" ht="42.6" customHeight="1" x14ac:dyDescent="0.25">
      <c r="A36" s="119" t="s">
        <v>23</v>
      </c>
      <c r="B36" s="120"/>
      <c r="C36" s="120"/>
      <c r="D36" s="120"/>
      <c r="E36" s="120"/>
      <c r="F36" s="120"/>
      <c r="G36" s="120"/>
      <c r="H36" s="120"/>
      <c r="I36" s="120"/>
      <c r="J36" s="120"/>
      <c r="K36" s="120"/>
      <c r="L36" s="120"/>
      <c r="M36" s="120"/>
      <c r="N36" s="120"/>
      <c r="O36" s="120"/>
      <c r="P36" s="120"/>
    </row>
    <row r="38" spans="1:16" x14ac:dyDescent="0.25">
      <c r="A38" s="25" t="s">
        <v>24</v>
      </c>
      <c r="B38" s="122"/>
      <c r="C38" s="122"/>
      <c r="D38" s="122"/>
      <c r="E38" s="122"/>
      <c r="F38" s="26" t="s">
        <v>25</v>
      </c>
      <c r="G38" s="122" t="str">
        <f>_xlfn.LET(_xlpm.x,_xlfn.XLOOKUP(B38,tblCustomers[اسم العميل],tblCustomers[كود العميل],""),IF(_xlpm.x=0,"",_xlpm.x))</f>
        <v>CUS-003</v>
      </c>
      <c r="H38" s="122"/>
      <c r="I38" s="122"/>
      <c r="J38" s="122"/>
      <c r="K38" s="34" t="s">
        <v>96</v>
      </c>
      <c r="L38" s="122" t="str">
        <f>_xlfn.LET(_xlpm.x,_xlfn.XLOOKUP(B38,tblCustomers[اسم العميل],tblCustomers[رقم الهاتف],""),IF(_xlpm.x=0,"",_xlpm.x))</f>
        <v/>
      </c>
      <c r="M38" s="122"/>
      <c r="N38" s="122"/>
    </row>
    <row r="40" spans="1:16" s="32" customFormat="1" x14ac:dyDescent="0.25">
      <c r="A40" s="25" t="s">
        <v>26</v>
      </c>
      <c r="B40" s="127" t="str">
        <f>_xlfn.LET(_xlpm.x,_xlfn.XLOOKUP(B38,tblCustomers[اسم العميل],tblCustomers[العنوان],""),IF(_xlpm.x=0,"",_xlpm.x))</f>
        <v/>
      </c>
      <c r="C40" s="127"/>
      <c r="D40" s="127"/>
      <c r="E40" s="127"/>
      <c r="F40" s="26" t="s">
        <v>27</v>
      </c>
      <c r="G40" s="127" t="str">
        <f>_xlfn.LET(_xlpm.x,_xlfn.XLOOKUP(B38,tblCustomers[اسم العميل],tblCustomers[المدينة],""),IF(_xlpm.x=0,"",_xlpm.x))</f>
        <v/>
      </c>
      <c r="H40" s="127"/>
      <c r="I40" s="127"/>
      <c r="J40" s="127"/>
      <c r="K40" s="35" t="s">
        <v>44</v>
      </c>
      <c r="L40" s="127" t="str">
        <f>_xlfn.LET(_xlpm.x,_xlfn.XLOOKUP(B38,tblCustomers[اسم العميل],tblCustomers[الحالة],""),IF(_xlpm.x=0,"",_xlpm.x))</f>
        <v/>
      </c>
      <c r="M40" s="127"/>
      <c r="N40" s="127"/>
    </row>
    <row r="41" spans="1:16" x14ac:dyDescent="0.25">
      <c r="K41" s="27"/>
    </row>
    <row r="44" spans="1:16" ht="42.6" customHeight="1" x14ac:dyDescent="0.25">
      <c r="A44" s="119" t="s">
        <v>29</v>
      </c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</row>
    <row r="45" spans="1:16" ht="29.4" thickBot="1" x14ac:dyDescent="0.3"/>
    <row r="46" spans="1:16" s="32" customFormat="1" ht="30" thickTop="1" thickBot="1" x14ac:dyDescent="0.3">
      <c r="C46" s="36"/>
      <c r="F46" s="37"/>
      <c r="G46" s="37"/>
      <c r="L46" s="126" t="s">
        <v>30</v>
      </c>
      <c r="M46" s="126"/>
      <c r="N46" s="126"/>
    </row>
    <row r="47" spans="1:16" ht="58.8" thickTop="1" thickBot="1" x14ac:dyDescent="0.3">
      <c r="A47" s="38" t="s">
        <v>31</v>
      </c>
      <c r="B47" s="38" t="s">
        <v>32</v>
      </c>
      <c r="C47" s="39" t="s">
        <v>33</v>
      </c>
      <c r="D47" s="38" t="s">
        <v>34</v>
      </c>
      <c r="E47" s="38" t="s">
        <v>35</v>
      </c>
      <c r="F47" s="40" t="s">
        <v>36</v>
      </c>
      <c r="G47" s="40" t="s">
        <v>37</v>
      </c>
      <c r="H47" s="38" t="s">
        <v>38</v>
      </c>
      <c r="K47" s="24"/>
      <c r="L47" s="41" t="s">
        <v>132</v>
      </c>
      <c r="M47" s="124">
        <f>IFERROR(SUMPRODUCT(tblPurchaseItems[الكمية],tblPurchaseItems[سعر الوحدة]),0)</f>
        <v>0</v>
      </c>
      <c r="N47" s="124"/>
    </row>
    <row r="48" spans="1:16" ht="30" thickTop="1" thickBot="1" x14ac:dyDescent="0.3">
      <c r="A48" s="42"/>
      <c r="B48" s="42" t="str">
        <f>IF(tblPurchaseItems[[#This Row],[الصنف]]="","",_xlfn.XLOOKUP(tblPurchaseItems[[#This Row],[الصنف]],tblItems[اسم الصنف],tblItems[كود الصنف],""))</f>
        <v/>
      </c>
      <c r="C48" s="42" t="str">
        <f>IF(tblPurchaseItems[[#This Row],[الصنف]]="","",_xlfn.XLOOKUP(tblPurchaseItems[[#This Row],[الصنف]],tblItems[اسم الصنف],tblItems[الوحدة],""))</f>
        <v/>
      </c>
      <c r="D48" s="42"/>
      <c r="E48" s="42"/>
      <c r="F48" s="43"/>
      <c r="G48" s="43"/>
      <c r="H48" s="42" t="str">
        <f>IF(OR(tblPurchaseItems[[#This Row],[الصنف]]="",tblPurchaseItems[[#This Row],[الكمية]]="",tblPurchaseItems[[#This Row],[سعر الوحدة]]=""),"",tblPurchaseItems[[#This Row],[الكمية]]*tblPurchaseItems[[#This Row],[سعر الوحدة]]*(1-IF(tblPurchaseItems[[#This Row],[الخصم %]]="",0,tblPurchaseItems[[#This Row],[الخصم %]]))*(1+IF(tblPurchaseItems[[#This Row],[الضريبة %]]="",0,tblPurchaseItems[[#This Row],[الضريبة %]])))</f>
        <v/>
      </c>
      <c r="K48" s="24"/>
      <c r="L48" s="41" t="s">
        <v>133</v>
      </c>
      <c r="M48" s="124">
        <f>IFERROR(SUMPRODUCT(tblPurchaseItems[الكمية],tblPurchaseItems[سعر الوحدة],tblPurchaseItems[الخصم %]),0)</f>
        <v>0</v>
      </c>
      <c r="N48" s="124"/>
      <c r="O48" s="52"/>
    </row>
    <row r="49" spans="1:14" ht="58.8" thickTop="1" thickBot="1" x14ac:dyDescent="0.3">
      <c r="A49" s="42"/>
      <c r="B49" s="42" t="str">
        <f>IF(tblPurchaseItems[[#This Row],[الصنف]]="","",_xlfn.XLOOKUP(tblPurchaseItems[[#This Row],[الصنف]],tblItems[اسم الصنف],tblItems[كود الصنف],""))</f>
        <v/>
      </c>
      <c r="C49" s="42" t="str">
        <f>IF(tblPurchaseItems[[#This Row],[الصنف]]="","",_xlfn.XLOOKUP(tblPurchaseItems[[#This Row],[الصنف]],tblItems[اسم الصنف],tblItems[الوحدة],""))</f>
        <v/>
      </c>
      <c r="D49" s="42"/>
      <c r="E49" s="42"/>
      <c r="F49" s="43"/>
      <c r="G49" s="43"/>
      <c r="H49" s="42" t="str">
        <f>IF(OR(tblPurchaseItems[[#This Row],[الصنف]]="",tblPurchaseItems[[#This Row],[الكمية]]="",tblPurchaseItems[[#This Row],[سعر الوحدة]]=""),"",tblPurchaseItems[[#This Row],[الكمية]]*tblPurchaseItems[[#This Row],[سعر الوحدة]]*(1-IF(tblPurchaseItems[[#This Row],[الخصم %]]="",0,tblPurchaseItems[[#This Row],[الخصم %]]))*(1+IF(tblPurchaseItems[[#This Row],[الضريبة %]]="",0,tblPurchaseItems[[#This Row],[الضريبة %]])))</f>
        <v/>
      </c>
      <c r="K49" s="24"/>
      <c r="L49" s="41" t="s">
        <v>134</v>
      </c>
      <c r="M49" s="124">
        <f>M47-M48</f>
        <v>0</v>
      </c>
      <c r="N49" s="124"/>
    </row>
    <row r="50" spans="1:14" ht="30" thickTop="1" thickBot="1" x14ac:dyDescent="0.3">
      <c r="A50" s="42"/>
      <c r="B50" s="42" t="str">
        <f>IF(tblPurchaseItems[[#This Row],[الصنف]]="","",_xlfn.XLOOKUP(tblPurchaseItems[[#This Row],[الصنف]],tblItems[اسم الصنف],tblItems[كود الصنف],""))</f>
        <v/>
      </c>
      <c r="C50" s="42" t="str">
        <f>IF(tblPurchaseItems[[#This Row],[الصنف]]="","",_xlfn.XLOOKUP(tblPurchaseItems[[#This Row],[الصنف]],tblItems[اسم الصنف],tblItems[الوحدة],""))</f>
        <v/>
      </c>
      <c r="D50" s="42"/>
      <c r="E50" s="42"/>
      <c r="F50" s="43"/>
      <c r="G50" s="43"/>
      <c r="H50" s="42" t="str">
        <f>IF(OR(tblPurchaseItems[[#This Row],[الصنف]]="",tblPurchaseItems[[#This Row],[الكمية]]="",tblPurchaseItems[[#This Row],[سعر الوحدة]]=""),"",tblPurchaseItems[[#This Row],[الكمية]]*tblPurchaseItems[[#This Row],[سعر الوحدة]]*(1-IF(tblPurchaseItems[[#This Row],[الخصم %]]="",0,tblPurchaseItems[[#This Row],[الخصم %]]))*(1+IF(tblPurchaseItems[[#This Row],[الضريبة %]]="",0,tblPurchaseItems[[#This Row],[الضريبة %]])))</f>
        <v/>
      </c>
      <c r="K50" s="24"/>
      <c r="L50" s="41" t="s">
        <v>130</v>
      </c>
      <c r="M50" s="124">
        <f>IFERROR(SUM(tblPurchaseItems[الإجمالي])-M49,0)</f>
        <v>0</v>
      </c>
      <c r="N50" s="124"/>
    </row>
    <row r="51" spans="1:14" ht="43.2" customHeight="1" thickTop="1" thickBot="1" x14ac:dyDescent="0.3">
      <c r="A51" s="42"/>
      <c r="B51" s="42" t="str">
        <f>IF(tblPurchaseItems[[#This Row],[الصنف]]="","",_xlfn.XLOOKUP(tblPurchaseItems[[#This Row],[الصنف]],tblItems[اسم الصنف],tblItems[كود الصنف],""))</f>
        <v/>
      </c>
      <c r="C51" s="42" t="str">
        <f>IF(tblPurchaseItems[[#This Row],[الصنف]]="","",_xlfn.XLOOKUP(tblPurchaseItems[[#This Row],[الصنف]],tblItems[اسم الصنف],tblItems[الوحدة],""))</f>
        <v/>
      </c>
      <c r="D51" s="42"/>
      <c r="E51" s="42"/>
      <c r="F51" s="43"/>
      <c r="G51" s="43"/>
      <c r="H51" s="42" t="str">
        <f>IF(OR(tblPurchaseItems[[#This Row],[الصنف]]="",tblPurchaseItems[[#This Row],[الكمية]]="",tblPurchaseItems[[#This Row],[سعر الوحدة]]=""),"",tblPurchaseItems[[#This Row],[الكمية]]*tblPurchaseItems[[#This Row],[سعر الوحدة]]*(1-IF(tblPurchaseItems[[#This Row],[الخصم %]]="",0,tblPurchaseItems[[#This Row],[الخصم %]]))*(1+IF(tblPurchaseItems[[#This Row],[الضريبة %]]="",0,tblPurchaseItems[[#This Row],[الضريبة %]])))</f>
        <v/>
      </c>
      <c r="K51" s="24"/>
      <c r="L51" s="41" t="s">
        <v>135</v>
      </c>
      <c r="M51" s="124"/>
      <c r="N51" s="124"/>
    </row>
    <row r="52" spans="1:14" ht="30" thickTop="1" thickBot="1" x14ac:dyDescent="0.3">
      <c r="A52" s="42"/>
      <c r="B52" s="42" t="str">
        <f>IF(tblPurchaseItems[[#This Row],[الصنف]]="","",_xlfn.XLOOKUP(tblPurchaseItems[[#This Row],[الصنف]],tblItems[اسم الصنف],tblItems[كود الصنف],""))</f>
        <v/>
      </c>
      <c r="C52" s="42" t="str">
        <f>IF(tblPurchaseItems[[#This Row],[الصنف]]="","",_xlfn.XLOOKUP(tblPurchaseItems[[#This Row],[الصنف]],tblItems[اسم الصنف],tblItems[الوحدة],""))</f>
        <v/>
      </c>
      <c r="D52" s="42"/>
      <c r="E52" s="42"/>
      <c r="F52" s="43"/>
      <c r="G52" s="43"/>
      <c r="H52" s="42" t="str">
        <f>IF(OR(tblPurchaseItems[[#This Row],[الصنف]]="",tblPurchaseItems[[#This Row],[الكمية]]="",tblPurchaseItems[[#This Row],[سعر الوحدة]]=""),"",tblPurchaseItems[[#This Row],[الكمية]]*tblPurchaseItems[[#This Row],[سعر الوحدة]]*(1-IF(tblPurchaseItems[[#This Row],[الخصم %]]="",0,tblPurchaseItems[[#This Row],[الخصم %]]))*(1+IF(tblPurchaseItems[[#This Row],[الضريبة %]]="",0,tblPurchaseItems[[#This Row],[الضريبة %]])))</f>
        <v/>
      </c>
      <c r="K52" s="24"/>
      <c r="L52" s="41" t="s">
        <v>136</v>
      </c>
      <c r="M52" s="125"/>
      <c r="N52" s="125"/>
    </row>
    <row r="53" spans="1:14" ht="30" thickTop="1" thickBot="1" x14ac:dyDescent="0.3">
      <c r="A53" s="42"/>
      <c r="B53" s="42" t="str">
        <f>IF(tblPurchaseItems[[#This Row],[الصنف]]="","",_xlfn.XLOOKUP(tblPurchaseItems[[#This Row],[الصنف]],tblItems[اسم الصنف],tblItems[كود الصنف],""))</f>
        <v/>
      </c>
      <c r="C53" s="42" t="str">
        <f>IF(tblPurchaseItems[[#This Row],[الصنف]]="","",_xlfn.XLOOKUP(tblPurchaseItems[[#This Row],[الصنف]],tblItems[اسم الصنف],tblItems[الوحدة],""))</f>
        <v/>
      </c>
      <c r="D53" s="42"/>
      <c r="E53" s="42"/>
      <c r="F53" s="43"/>
      <c r="G53" s="43"/>
      <c r="H53" s="42" t="str">
        <f>IF(OR(tblPurchaseItems[[#This Row],[الصنف]]="",tblPurchaseItems[[#This Row],[الكمية]]="",tblPurchaseItems[[#This Row],[سعر الوحدة]]=""),"",tblPurchaseItems[[#This Row],[الكمية]]*tblPurchaseItems[[#This Row],[سعر الوحدة]]*(1-IF(tblPurchaseItems[[#This Row],[الخصم %]]="",0,tblPurchaseItems[[#This Row],[الخصم %]]))*(1+IF(tblPurchaseItems[[#This Row],[الضريبة %]]="",0,tblPurchaseItems[[#This Row],[الضريبة %]])))</f>
        <v/>
      </c>
      <c r="K53" s="24"/>
      <c r="L53" s="41" t="s">
        <v>131</v>
      </c>
      <c r="M53" s="125">
        <f>IFERROR(M49+M50+N51+N52,0)</f>
        <v>0</v>
      </c>
      <c r="N53" s="125"/>
    </row>
    <row r="54" spans="1:14" ht="24" customHeight="1" thickTop="1" thickBot="1" x14ac:dyDescent="0.3">
      <c r="A54" s="42"/>
      <c r="B54" s="42" t="str">
        <f>IF(tblPurchaseItems[[#This Row],[الصنف]]="","",_xlfn.XLOOKUP(tblPurchaseItems[[#This Row],[الصنف]],tblItems[اسم الصنف],tblItems[كود الصنف],""))</f>
        <v/>
      </c>
      <c r="C54" s="42" t="str">
        <f>IF(tblPurchaseItems[[#This Row],[الصنف]]="","",_xlfn.XLOOKUP(tblPurchaseItems[[#This Row],[الصنف]],tblItems[اسم الصنف],tblItems[الوحدة],""))</f>
        <v/>
      </c>
      <c r="D54" s="42"/>
      <c r="E54" s="42"/>
      <c r="F54" s="43"/>
      <c r="G54" s="43"/>
      <c r="H54" s="42" t="str">
        <f>IF(OR(tblPurchaseItems[[#This Row],[الصنف]]="",tblPurchaseItems[[#This Row],[الكمية]]="",tblPurchaseItems[[#This Row],[سعر الوحدة]]=""),"",tblPurchaseItems[[#This Row],[الكمية]]*tblPurchaseItems[[#This Row],[سعر الوحدة]]*(1-IF(tblPurchaseItems[[#This Row],[الخصم %]]="",0,tblPurchaseItems[[#This Row],[الخصم %]]))*(1+IF(tblPurchaseItems[[#This Row],[الضريبة %]]="",0,tblPurchaseItems[[#This Row],[الضريبة %]])))</f>
        <v/>
      </c>
      <c r="K54" s="24"/>
      <c r="L54" s="24"/>
      <c r="M54" s="24"/>
      <c r="N54" s="24"/>
    </row>
    <row r="55" spans="1:14" ht="30" thickTop="1" thickBot="1" x14ac:dyDescent="0.3">
      <c r="A55" s="42"/>
      <c r="B55" s="42" t="str">
        <f>IF(tblPurchaseItems[[#This Row],[الصنف]]="","",_xlfn.XLOOKUP(tblPurchaseItems[[#This Row],[الصنف]],tblItems[اسم الصنف],tblItems[كود الصنف],""))</f>
        <v/>
      </c>
      <c r="C55" s="42" t="str">
        <f>IF(tblPurchaseItems[[#This Row],[الصنف]]="","",_xlfn.XLOOKUP(tblPurchaseItems[[#This Row],[الصنف]],tblItems[اسم الصنف],tblItems[الوحدة],""))</f>
        <v/>
      </c>
      <c r="D55" s="42"/>
      <c r="E55" s="42"/>
      <c r="F55" s="43"/>
      <c r="G55" s="43"/>
      <c r="H55" s="42" t="str">
        <f>IF(OR(tblPurchaseItems[[#This Row],[الصنف]]="",tblPurchaseItems[[#This Row],[الكمية]]="",tblPurchaseItems[[#This Row],[سعر الوحدة]]=""),"",tblPurchaseItems[[#This Row],[الكمية]]*tblPurchaseItems[[#This Row],[سعر الوحدة]]*(1-IF(tblPurchaseItems[[#This Row],[الخصم %]]="",0,tblPurchaseItems[[#This Row],[الخصم %]]))*(1+IF(tblPurchaseItems[[#This Row],[الضريبة %]]="",0,tblPurchaseItems[[#This Row],[الضريبة %]])))</f>
        <v/>
      </c>
      <c r="K55" s="24"/>
      <c r="L55" s="24"/>
      <c r="M55" s="24"/>
      <c r="N55" s="24"/>
    </row>
    <row r="56" spans="1:14" ht="30" thickTop="1" thickBot="1" x14ac:dyDescent="0.3">
      <c r="A56" s="42"/>
      <c r="B56" s="42" t="str">
        <f>IF(tblPurchaseItems[[#This Row],[الصنف]]="","",_xlfn.XLOOKUP(tblPurchaseItems[[#This Row],[الصنف]],tblItems[اسم الصنف],tblItems[كود الصنف],""))</f>
        <v/>
      </c>
      <c r="C56" s="42" t="str">
        <f>IF(tblPurchaseItems[[#This Row],[الصنف]]="","",_xlfn.XLOOKUP(tblPurchaseItems[[#This Row],[الصنف]],tblItems[اسم الصنف],tblItems[الوحدة],""))</f>
        <v/>
      </c>
      <c r="D56" s="42"/>
      <c r="E56" s="42"/>
      <c r="F56" s="43"/>
      <c r="G56" s="43"/>
      <c r="H56" s="42" t="str">
        <f>IF(OR(tblPurchaseItems[[#This Row],[الصنف]]="",tblPurchaseItems[[#This Row],[الكمية]]="",tblPurchaseItems[[#This Row],[سعر الوحدة]]=""),"",tblPurchaseItems[[#This Row],[الكمية]]*tblPurchaseItems[[#This Row],[سعر الوحدة]]*(1-IF(tblPurchaseItems[[#This Row],[الخصم %]]="",0,tblPurchaseItems[[#This Row],[الخصم %]]))*(1+IF(tblPurchaseItems[[#This Row],[الضريبة %]]="",0,tblPurchaseItems[[#This Row],[الضريبة %]])))</f>
        <v/>
      </c>
      <c r="K56" s="24"/>
      <c r="L56" s="24"/>
      <c r="M56" s="24"/>
      <c r="N56" s="24"/>
    </row>
    <row r="57" spans="1:14" ht="30" thickTop="1" thickBot="1" x14ac:dyDescent="0.3">
      <c r="A57" s="42"/>
      <c r="B57" s="42" t="str">
        <f>IF(tblPurchaseItems[[#This Row],[الصنف]]="","",_xlfn.XLOOKUP(tblPurchaseItems[[#This Row],[الصنف]],tblItems[اسم الصنف],tblItems[كود الصنف],""))</f>
        <v/>
      </c>
      <c r="C57" s="42" t="str">
        <f>IF(tblPurchaseItems[[#This Row],[الصنف]]="","",_xlfn.XLOOKUP(tblPurchaseItems[[#This Row],[الصنف]],tblItems[اسم الصنف],tblItems[الوحدة],""))</f>
        <v/>
      </c>
      <c r="D57" s="42"/>
      <c r="E57" s="42"/>
      <c r="F57" s="43"/>
      <c r="G57" s="43"/>
      <c r="H57" s="42" t="str">
        <f>IF(OR(tblPurchaseItems[[#This Row],[الصنف]]="",tblPurchaseItems[[#This Row],[الكمية]]="",tblPurchaseItems[[#This Row],[سعر الوحدة]]=""),"",tblPurchaseItems[[#This Row],[الكمية]]*tblPurchaseItems[[#This Row],[سعر الوحدة]]*(1-IF(tblPurchaseItems[[#This Row],[الخصم %]]="",0,tblPurchaseItems[[#This Row],[الخصم %]]))*(1+IF(tblPurchaseItems[[#This Row],[الضريبة %]]="",0,tblPurchaseItems[[#This Row],[الضريبة %]])))</f>
        <v/>
      </c>
      <c r="K57" s="24"/>
      <c r="L57" s="24"/>
      <c r="M57" s="24"/>
      <c r="N57" s="24"/>
    </row>
    <row r="58" spans="1:14" ht="30" thickTop="1" thickBot="1" x14ac:dyDescent="0.3">
      <c r="A58" s="42"/>
      <c r="B58" s="42"/>
      <c r="C58" s="42"/>
      <c r="D58" s="42"/>
      <c r="E58" s="42"/>
      <c r="F58" s="43"/>
      <c r="G58" s="43"/>
      <c r="H58" s="42" t="str">
        <f>IF(OR(tblPurchaseItems[[#This Row],[الصنف]]="",tblPurchaseItems[[#This Row],[الكمية]]="",tblPurchaseItems[[#This Row],[سعر الوحدة]]=""),"",tblPurchaseItems[[#This Row],[الكمية]]*tblPurchaseItems[[#This Row],[سعر الوحدة]]*(1-IF(tblPurchaseItems[[#This Row],[الخصم %]]="",0,tblPurchaseItems[[#This Row],[الخصم %]]))*(1+IF(tblPurchaseItems[[#This Row],[الضريبة %]]="",0,tblPurchaseItems[[#This Row],[الضريبة %]])))</f>
        <v/>
      </c>
      <c r="K58" s="24"/>
      <c r="L58" s="24"/>
      <c r="M58" s="24"/>
      <c r="N58" s="24"/>
    </row>
    <row r="59" spans="1:14" ht="30" thickTop="1" thickBot="1" x14ac:dyDescent="0.3">
      <c r="A59" s="42"/>
      <c r="B59" s="42"/>
      <c r="C59" s="42"/>
      <c r="D59" s="42"/>
      <c r="E59" s="42"/>
      <c r="F59" s="43"/>
      <c r="G59" s="43"/>
      <c r="H59" s="42" t="str">
        <f>IF(OR(tblPurchaseItems[[#This Row],[الصنف]]="",tblPurchaseItems[[#This Row],[الكمية]]="",tblPurchaseItems[[#This Row],[سعر الوحدة]]=""),"",tblPurchaseItems[[#This Row],[الكمية]]*tblPurchaseItems[[#This Row],[سعر الوحدة]]*(1-IF(tblPurchaseItems[[#This Row],[الخصم %]]="",0,tblPurchaseItems[[#This Row],[الخصم %]]))*(1+IF(tblPurchaseItems[[#This Row],[الضريبة %]]="",0,tblPurchaseItems[[#This Row],[الضريبة %]])))</f>
        <v/>
      </c>
      <c r="K59" s="24"/>
      <c r="L59" s="24"/>
      <c r="M59" s="24"/>
      <c r="N59" s="24"/>
    </row>
    <row r="60" spans="1:14" ht="30" thickTop="1" thickBot="1" x14ac:dyDescent="0.3">
      <c r="A60" s="42"/>
      <c r="B60" s="42"/>
      <c r="C60" s="42"/>
      <c r="D60" s="42"/>
      <c r="E60" s="42"/>
      <c r="F60" s="43"/>
      <c r="G60" s="43"/>
      <c r="H60" s="42" t="str">
        <f>IF(OR(tblPurchaseItems[[#This Row],[الصنف]]="",tblPurchaseItems[[#This Row],[الكمية]]="",tblPurchaseItems[[#This Row],[سعر الوحدة]]=""),"",tblPurchaseItems[[#This Row],[الكمية]]*tblPurchaseItems[[#This Row],[سعر الوحدة]]*(1-IF(tblPurchaseItems[[#This Row],[الخصم %]]="",0,tblPurchaseItems[[#This Row],[الخصم %]]))*(1+IF(tblPurchaseItems[[#This Row],[الضريبة %]]="",0,tblPurchaseItems[[#This Row],[الضريبة %]])))</f>
        <v/>
      </c>
      <c r="K60" s="24"/>
      <c r="L60" s="24"/>
      <c r="M60" s="24"/>
      <c r="N60" s="24"/>
    </row>
    <row r="61" spans="1:14" ht="30" thickTop="1" thickBot="1" x14ac:dyDescent="0.3">
      <c r="A61" s="42"/>
      <c r="B61" s="42"/>
      <c r="C61" s="42"/>
      <c r="D61" s="42"/>
      <c r="E61" s="42"/>
      <c r="F61" s="43"/>
      <c r="G61" s="43"/>
      <c r="H61" s="42" t="str">
        <f>IF(OR(tblPurchaseItems[[#This Row],[الصنف]]="",tblPurchaseItems[[#This Row],[الكمية]]="",tblPurchaseItems[[#This Row],[سعر الوحدة]]=""),"",tblPurchaseItems[[#This Row],[الكمية]]*tblPurchaseItems[[#This Row],[سعر الوحدة]]*(1-IF(tblPurchaseItems[[#This Row],[الخصم %]]="",0,tblPurchaseItems[[#This Row],[الخصم %]]))*(1+IF(tblPurchaseItems[[#This Row],[الضريبة %]]="",0,tblPurchaseItems[[#This Row],[الضريبة %]])))</f>
        <v/>
      </c>
      <c r="K61" s="24"/>
      <c r="L61" s="24"/>
      <c r="M61" s="24"/>
      <c r="N61" s="24"/>
    </row>
    <row r="62" spans="1:14" ht="30" thickTop="1" thickBot="1" x14ac:dyDescent="0.3">
      <c r="A62" s="51"/>
      <c r="B62" s="42" t="str">
        <f>IF(tblPurchaseItems[[#This Row],[الصنف]]="","",_xlfn.XLOOKUP(tblPurchaseItems[[#This Row],[الصنف]],tblItems[اسم الصنف],tblItems[كود الصنف],""))</f>
        <v/>
      </c>
      <c r="C62" s="42" t="str">
        <f>IF(tblPurchaseItems[[#This Row],[الصنف]]="","",_xlfn.XLOOKUP(tblPurchaseItems[[#This Row],[الصنف]],tblItems[اسم الصنف],tblItems[الوحدة],""))</f>
        <v/>
      </c>
      <c r="D62" s="42"/>
      <c r="E62" s="42"/>
      <c r="F62" s="43"/>
      <c r="G62" s="43"/>
      <c r="H62" s="42" t="str">
        <f>IF(OR(tblPurchaseItems[[#This Row],[الصنف]]="",tblPurchaseItems[[#This Row],[الكمية]]="",tblPurchaseItems[[#This Row],[سعر الوحدة]]=""),"",tblPurchaseItems[[#This Row],[الكمية]]*tblPurchaseItems[[#This Row],[سعر الوحدة]]*(1-IF(tblPurchaseItems[[#This Row],[الخصم %]]="",0,tblPurchaseItems[[#This Row],[الخصم %]]))*(1+IF(tblPurchaseItems[[#This Row],[الضريبة %]]="",0,tblPurchaseItems[[#This Row],[الضريبة %]])))</f>
        <v/>
      </c>
      <c r="K62" s="24"/>
      <c r="L62" s="24"/>
      <c r="M62" s="24"/>
      <c r="N62" s="24"/>
    </row>
    <row r="63" spans="1:14" ht="29.4" thickTop="1" x14ac:dyDescent="0.25">
      <c r="K63" s="24"/>
      <c r="L63" s="24"/>
      <c r="M63" s="24"/>
      <c r="N63" s="24"/>
    </row>
    <row r="64" spans="1:14" x14ac:dyDescent="0.25">
      <c r="K64" s="24"/>
      <c r="L64" s="24"/>
      <c r="M64" s="24"/>
      <c r="N64" s="24"/>
    </row>
    <row r="65" spans="11:16" x14ac:dyDescent="0.25">
      <c r="K65" s="24"/>
      <c r="L65" s="24"/>
      <c r="M65" s="24"/>
      <c r="N65" s="24"/>
    </row>
    <row r="66" spans="11:16" x14ac:dyDescent="0.25">
      <c r="K66" s="24"/>
      <c r="L66" s="24"/>
      <c r="M66" s="24"/>
      <c r="N66" s="24"/>
    </row>
    <row r="67" spans="11:16" x14ac:dyDescent="0.25">
      <c r="K67" s="24"/>
      <c r="L67" s="24"/>
      <c r="M67" s="24"/>
      <c r="N67" s="24"/>
    </row>
    <row r="68" spans="11:16" x14ac:dyDescent="0.25">
      <c r="K68" s="24"/>
      <c r="L68" s="24"/>
      <c r="M68" s="24"/>
      <c r="N68" s="24"/>
    </row>
    <row r="69" spans="11:16" x14ac:dyDescent="0.25">
      <c r="K69" s="24"/>
      <c r="L69" s="24"/>
      <c r="M69" s="24"/>
      <c r="N69" s="24"/>
    </row>
    <row r="70" spans="11:16" x14ac:dyDescent="0.25">
      <c r="K70" s="24"/>
      <c r="L70" s="24"/>
      <c r="M70" s="24"/>
      <c r="N70" s="24"/>
    </row>
    <row r="71" spans="11:16" x14ac:dyDescent="0.25">
      <c r="M71" s="24"/>
      <c r="N71" s="24"/>
      <c r="O71" s="24"/>
      <c r="P71" s="24"/>
    </row>
  </sheetData>
  <mergeCells count="44">
    <mergeCell ref="M53:N53"/>
    <mergeCell ref="L46:N46"/>
    <mergeCell ref="B40:E40"/>
    <mergeCell ref="G40:J40"/>
    <mergeCell ref="L40:N40"/>
    <mergeCell ref="M52:N52"/>
    <mergeCell ref="M49:N49"/>
    <mergeCell ref="M50:N50"/>
    <mergeCell ref="M51:N51"/>
    <mergeCell ref="L10:N10"/>
    <mergeCell ref="B12:E12"/>
    <mergeCell ref="B10:E10"/>
    <mergeCell ref="G12:J12"/>
    <mergeCell ref="L12:N12"/>
    <mergeCell ref="L14:N14"/>
    <mergeCell ref="G14:J14"/>
    <mergeCell ref="B14:E14"/>
    <mergeCell ref="M47:N47"/>
    <mergeCell ref="M48:N48"/>
    <mergeCell ref="A28:P28"/>
    <mergeCell ref="B30:E30"/>
    <mergeCell ref="G30:J30"/>
    <mergeCell ref="L30:N30"/>
    <mergeCell ref="G32:J32"/>
    <mergeCell ref="B32:E32"/>
    <mergeCell ref="L32:N32"/>
    <mergeCell ref="B38:E38"/>
    <mergeCell ref="G38:J38"/>
    <mergeCell ref="A1:P5"/>
    <mergeCell ref="A36:P36"/>
    <mergeCell ref="A44:P44"/>
    <mergeCell ref="G10:J10"/>
    <mergeCell ref="G20:J20"/>
    <mergeCell ref="B24:E24"/>
    <mergeCell ref="G22:J22"/>
    <mergeCell ref="B22:E22"/>
    <mergeCell ref="L20:N20"/>
    <mergeCell ref="L22:N22"/>
    <mergeCell ref="G24:J24"/>
    <mergeCell ref="L24:N24"/>
    <mergeCell ref="A8:P8"/>
    <mergeCell ref="B20:E20"/>
    <mergeCell ref="A18:P18"/>
    <mergeCell ref="L38:N38"/>
  </mergeCells>
  <conditionalFormatting sqref="A48:H48 A49:E61 H49:H62 G49:G61 F49:F62">
    <cfRule type="expression" priority="1">
      <formula>AND($A48&lt;&gt;"",OR($D48="",$E48=""))</formula>
    </cfRule>
  </conditionalFormatting>
  <dataValidations count="13">
    <dataValidation type="list" allowBlank="1" showInputMessage="1" showErrorMessage="1" sqref="B20:E20" xr:uid="{EAF13C42-2182-4115-907F-EB8DB4AAD046}">
      <formula1>INDIRECT("tblSuppliers[اسم المورد]")</formula1>
    </dataValidation>
    <dataValidation type="list" allowBlank="1" showInputMessage="1" showErrorMessage="1" sqref="B30:E30" xr:uid="{8B74D950-892E-47F3-BA36-C6D0EF9E649D}">
      <formula1>INDIRECT("tblProjects[اسم المشروع]")</formula1>
    </dataValidation>
    <dataValidation type="list" allowBlank="1" showInputMessage="1" showErrorMessage="1" sqref="B38:E38" xr:uid="{C3261F26-ADDB-4059-BF56-1CFA41C52DC1}">
      <formula1>INDIRECT("tblCustomers[اسم العميل]")</formula1>
    </dataValidation>
    <dataValidation type="date" allowBlank="1" showInputMessage="1" showErrorMessage="1" sqref="G14:J14 G10:J10" xr:uid="{D0398406-C381-4FD3-8472-3CB38718607E}">
      <formula1>45292</formula1>
      <formula2>49674</formula2>
    </dataValidation>
    <dataValidation type="list" allowBlank="1" showInputMessage="1" showErrorMessage="1" sqref="L10:N10" xr:uid="{A35E6564-1541-452B-A2F7-15FD9DBA4721}">
      <formula1>"محلي,مستورد,نقدي,آجل"</formula1>
    </dataValidation>
    <dataValidation type="list" allowBlank="1" showInputMessage="1" showErrorMessage="1" sqref="B12:E12" xr:uid="{0390D586-2886-4C49-94C8-E11E4A84F34A}">
      <formula1>"قيد الانتظار,معتمد,مرفوض,مكتمل,ملغي"</formula1>
    </dataValidation>
    <dataValidation type="list" allowBlank="1" showInputMessage="1" showErrorMessage="1" sqref="G12:J12" xr:uid="{97AD94F7-768C-4E98-810A-FE92A4036452}">
      <formula1>"EGP,USD,EUR,SAR,AED"</formula1>
    </dataValidation>
    <dataValidation type="list" allowBlank="1" showInputMessage="1" showErrorMessage="1" sqref="L14:N14" xr:uid="{5C4F2914-FFF3-4533-A0AA-FB8264068380}">
      <formula1>"غير معتمد,معتمد,مرفوض"</formula1>
    </dataValidation>
    <dataValidation type="decimal" operator="greaterThan" allowBlank="1" showInputMessage="1" showErrorMessage="1" sqref="E47 D48:D62" xr:uid="{BB347B3F-C907-4D47-83CE-7DE4337C831F}">
      <formula1>0</formula1>
    </dataValidation>
    <dataValidation type="decimal" allowBlank="1" showInputMessage="1" showErrorMessage="1" sqref="F47" xr:uid="{9E1EAB90-C4B5-4A2F-84E4-3309B8F3C9E3}">
      <formula1>0</formula1>
      <formula2>1</formula2>
    </dataValidation>
    <dataValidation type="list" allowBlank="1" showInputMessage="1" showErrorMessage="1" sqref="A48:A62" xr:uid="{947D38AA-4806-4B1C-8519-5E4478F7F711}">
      <formula1>INDIRECT("tblItems[اسم الصنف]")</formula1>
    </dataValidation>
    <dataValidation type="list" allowBlank="1" showInputMessage="1" showErrorMessage="1" sqref="G48:G57" xr:uid="{6C26F6BA-CA87-466C-B7DE-FE56D9309256}">
      <formula1>"14%,0%"</formula1>
    </dataValidation>
    <dataValidation type="list" allowBlank="1" showInputMessage="1" showErrorMessage="1" sqref="F48:F62" xr:uid="{5AD46D04-B409-42AD-9F9B-9F88B8D7E8DD}">
      <formula1>"0%, 5%, 10%, 15% ,20%, 25%"</formula1>
    </dataValidation>
  </dataValidations>
  <pageMargins left="0.7" right="0.7" top="0.75" bottom="0.75" header="0.3" footer="0.3"/>
  <pageSetup scale="23" orientation="portrait" r:id="rId1"/>
  <colBreaks count="1" manualBreakCount="1">
    <brk id="16" max="61" man="1"/>
  </colBreak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11CDB-D205-47D6-9CCB-93884F32AC4D}">
  <sheetPr codeName="Sheet2">
    <tabColor theme="8" tint="-0.249977111117893"/>
  </sheetPr>
  <dimension ref="A1:J2"/>
  <sheetViews>
    <sheetView rightToLeft="1" view="pageBreakPreview" zoomScale="94" zoomScaleNormal="85" zoomScaleSheetLayoutView="94" workbookViewId="0">
      <selection activeCell="G2" sqref="G2"/>
    </sheetView>
  </sheetViews>
  <sheetFormatPr defaultRowHeight="22.8" x14ac:dyDescent="0.4"/>
  <cols>
    <col min="1" max="1" width="16.3984375" style="19" bestFit="1" customWidth="1"/>
    <col min="2" max="2" width="16.69921875" style="19" bestFit="1" customWidth="1"/>
    <col min="3" max="3" width="15.19921875" style="19" bestFit="1" customWidth="1"/>
    <col min="4" max="4" width="12" style="19" bestFit="1" customWidth="1"/>
    <col min="5" max="5" width="14.8984375" style="19" bestFit="1" customWidth="1"/>
    <col min="6" max="6" width="14.69921875" style="19" bestFit="1" customWidth="1"/>
    <col min="7" max="7" width="18.59765625" style="19" bestFit="1" customWidth="1"/>
    <col min="8" max="8" width="15" style="19" bestFit="1" customWidth="1"/>
    <col min="9" max="9" width="13.59765625" style="19" bestFit="1" customWidth="1"/>
    <col min="10" max="10" width="12.59765625" style="19" bestFit="1" customWidth="1"/>
    <col min="11" max="16384" width="8.796875" style="19"/>
  </cols>
  <sheetData>
    <row r="1" spans="1:10" x14ac:dyDescent="0.4">
      <c r="A1" s="19" t="s">
        <v>151</v>
      </c>
      <c r="B1" s="19" t="s">
        <v>152</v>
      </c>
      <c r="C1" s="19" t="s">
        <v>8</v>
      </c>
      <c r="D1" s="19" t="s">
        <v>140</v>
      </c>
      <c r="E1" s="19" t="s">
        <v>141</v>
      </c>
      <c r="F1" s="19" t="s">
        <v>54</v>
      </c>
      <c r="G1" s="19" t="s">
        <v>153</v>
      </c>
      <c r="H1" s="19" t="s">
        <v>150</v>
      </c>
      <c r="I1" s="19" t="s">
        <v>154</v>
      </c>
      <c r="J1" s="19" t="s">
        <v>45</v>
      </c>
    </row>
    <row r="2" spans="1:10" x14ac:dyDescent="0.4">
      <c r="A2" s="19" t="s">
        <v>171</v>
      </c>
      <c r="B2" s="53">
        <v>46222</v>
      </c>
      <c r="C2" s="19">
        <v>347</v>
      </c>
      <c r="D2" s="19" t="s">
        <v>221</v>
      </c>
      <c r="E2" s="19" t="s">
        <v>299</v>
      </c>
      <c r="F2" s="19" t="s">
        <v>300</v>
      </c>
      <c r="G2" s="19">
        <v>29947.5</v>
      </c>
      <c r="H2" s="19" t="s">
        <v>180</v>
      </c>
      <c r="I2" s="115" t="s">
        <v>323</v>
      </c>
      <c r="J2" s="115" t="s">
        <v>324</v>
      </c>
    </row>
  </sheetData>
  <pageMargins left="0.7" right="0.7" top="0.75" bottom="0.75" header="0.3" footer="0.3"/>
  <pageSetup scale="44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A1DE8-1069-406C-9F3F-AC27E07A3B1E}">
  <sheetPr codeName="Sheet10">
    <tabColor rgb="FF7030A0"/>
  </sheetPr>
  <dimension ref="A1:U35"/>
  <sheetViews>
    <sheetView rightToLeft="1" view="pageBreakPreview" topLeftCell="C1" zoomScaleNormal="100" zoomScaleSheetLayoutView="100" workbookViewId="0">
      <selection activeCell="O26" sqref="O26"/>
    </sheetView>
  </sheetViews>
  <sheetFormatPr defaultRowHeight="13.8" x14ac:dyDescent="0.25"/>
  <cols>
    <col min="1" max="1" width="11.796875" customWidth="1"/>
    <col min="2" max="2" width="10.5" bestFit="1" customWidth="1"/>
    <col min="3" max="3" width="16" customWidth="1"/>
    <col min="4" max="4" width="15.19921875" bestFit="1" customWidth="1"/>
    <col min="5" max="5" width="14.5" bestFit="1" customWidth="1"/>
    <col min="6" max="6" width="14.59765625" bestFit="1" customWidth="1"/>
    <col min="7" max="7" width="10.19921875" bestFit="1" customWidth="1"/>
    <col min="8" max="8" width="12.3984375" bestFit="1" customWidth="1"/>
    <col min="9" max="9" width="9.69921875" bestFit="1" customWidth="1"/>
    <col min="10" max="10" width="10.19921875" bestFit="1" customWidth="1"/>
    <col min="11" max="11" width="14.796875" bestFit="1" customWidth="1"/>
    <col min="12" max="12" width="10.296875" bestFit="1" customWidth="1"/>
    <col min="13" max="13" width="11.59765625" bestFit="1" customWidth="1"/>
    <col min="14" max="14" width="16.5" bestFit="1" customWidth="1"/>
    <col min="15" max="15" width="9.5" customWidth="1"/>
  </cols>
  <sheetData>
    <row r="1" spans="1:21" s="3" customFormat="1" ht="42" x14ac:dyDescent="0.4">
      <c r="A1" s="17" t="s">
        <v>137</v>
      </c>
      <c r="B1" s="17" t="s">
        <v>138</v>
      </c>
      <c r="C1" s="17" t="s">
        <v>139</v>
      </c>
      <c r="D1" s="17" t="s">
        <v>8</v>
      </c>
      <c r="E1" s="17" t="s">
        <v>47</v>
      </c>
      <c r="F1" s="18" t="s">
        <v>48</v>
      </c>
      <c r="G1" s="18" t="s">
        <v>140</v>
      </c>
      <c r="H1" s="18" t="s">
        <v>141</v>
      </c>
      <c r="I1" s="18" t="s">
        <v>34</v>
      </c>
      <c r="J1" s="18" t="s">
        <v>33</v>
      </c>
      <c r="K1" s="18" t="s">
        <v>35</v>
      </c>
      <c r="L1" s="18" t="s">
        <v>142</v>
      </c>
      <c r="M1" s="18" t="s">
        <v>143</v>
      </c>
      <c r="N1" s="18" t="s">
        <v>144</v>
      </c>
      <c r="O1" s="18" t="s">
        <v>145</v>
      </c>
      <c r="P1" s="16"/>
      <c r="Q1" s="16"/>
      <c r="R1" s="16"/>
      <c r="S1" s="16"/>
      <c r="T1" s="16"/>
      <c r="U1" s="16"/>
    </row>
    <row r="2" spans="1:21" x14ac:dyDescent="0.25">
      <c r="A2" s="2">
        <v>1</v>
      </c>
      <c r="B2" s="54">
        <v>46222</v>
      </c>
      <c r="C2" s="2" t="s">
        <v>321</v>
      </c>
      <c r="D2" s="15">
        <v>347</v>
      </c>
      <c r="E2" s="15" t="s">
        <v>265</v>
      </c>
      <c r="F2" s="15" t="s">
        <v>275</v>
      </c>
      <c r="G2" s="15" t="s">
        <v>221</v>
      </c>
      <c r="H2" s="15" t="s">
        <v>299</v>
      </c>
      <c r="I2" s="15">
        <v>2</v>
      </c>
      <c r="J2" s="15" t="s">
        <v>127</v>
      </c>
      <c r="K2" s="15">
        <v>10765</v>
      </c>
      <c r="L2" s="15">
        <v>0.25</v>
      </c>
      <c r="M2" s="15"/>
      <c r="N2" s="15">
        <v>16147.5</v>
      </c>
      <c r="O2" s="15" t="s">
        <v>322</v>
      </c>
    </row>
    <row r="3" spans="1:21" x14ac:dyDescent="0.25">
      <c r="A3" s="2">
        <v>2</v>
      </c>
      <c r="B3" s="54">
        <v>46222</v>
      </c>
      <c r="C3" s="2" t="s">
        <v>321</v>
      </c>
      <c r="D3" s="15">
        <v>347</v>
      </c>
      <c r="E3" s="15" t="s">
        <v>266</v>
      </c>
      <c r="F3" s="15" t="s">
        <v>278</v>
      </c>
      <c r="G3" s="15" t="s">
        <v>221</v>
      </c>
      <c r="H3" s="15" t="s">
        <v>299</v>
      </c>
      <c r="I3" s="15">
        <v>1</v>
      </c>
      <c r="J3" s="15" t="s">
        <v>127</v>
      </c>
      <c r="K3" s="15">
        <v>14530</v>
      </c>
      <c r="L3" s="15">
        <v>0.25</v>
      </c>
      <c r="M3" s="15"/>
      <c r="N3" s="15">
        <v>10897.5</v>
      </c>
      <c r="O3" s="15" t="s">
        <v>322</v>
      </c>
    </row>
    <row r="4" spans="1:21" x14ac:dyDescent="0.25">
      <c r="A4" s="2">
        <v>3</v>
      </c>
      <c r="B4" s="54">
        <v>46222</v>
      </c>
      <c r="C4" s="2" t="s">
        <v>321</v>
      </c>
      <c r="D4" s="15">
        <v>347</v>
      </c>
      <c r="E4" s="15" t="s">
        <v>267</v>
      </c>
      <c r="F4" s="15" t="s">
        <v>282</v>
      </c>
      <c r="G4" s="15" t="s">
        <v>221</v>
      </c>
      <c r="H4" s="15" t="s">
        <v>299</v>
      </c>
      <c r="I4" s="15">
        <v>2</v>
      </c>
      <c r="J4" s="15" t="s">
        <v>127</v>
      </c>
      <c r="K4" s="15">
        <v>560</v>
      </c>
      <c r="L4" s="15">
        <v>0.1</v>
      </c>
      <c r="M4" s="15"/>
      <c r="N4" s="15">
        <v>1008</v>
      </c>
      <c r="O4" s="15" t="s">
        <v>322</v>
      </c>
    </row>
    <row r="5" spans="1:21" x14ac:dyDescent="0.25">
      <c r="A5" s="2">
        <v>4</v>
      </c>
      <c r="B5" s="54">
        <v>46222</v>
      </c>
      <c r="C5" s="2" t="s">
        <v>321</v>
      </c>
      <c r="D5" s="15">
        <v>347</v>
      </c>
      <c r="E5" s="15" t="s">
        <v>268</v>
      </c>
      <c r="F5" s="15" t="s">
        <v>281</v>
      </c>
      <c r="G5" s="15" t="s">
        <v>221</v>
      </c>
      <c r="H5" s="15" t="s">
        <v>299</v>
      </c>
      <c r="I5" s="15">
        <v>1</v>
      </c>
      <c r="J5" s="15" t="s">
        <v>127</v>
      </c>
      <c r="K5" s="15">
        <v>755</v>
      </c>
      <c r="L5" s="15">
        <v>0.1</v>
      </c>
      <c r="M5" s="15"/>
      <c r="N5" s="15">
        <v>679.5</v>
      </c>
      <c r="O5" s="15" t="s">
        <v>322</v>
      </c>
    </row>
    <row r="6" spans="1:21" x14ac:dyDescent="0.25">
      <c r="A6" s="2">
        <v>5</v>
      </c>
      <c r="B6" s="54">
        <v>46222</v>
      </c>
      <c r="C6" s="2" t="s">
        <v>321</v>
      </c>
      <c r="D6" s="15">
        <v>347</v>
      </c>
      <c r="E6" s="15" t="s">
        <v>269</v>
      </c>
      <c r="F6" s="15" t="s">
        <v>284</v>
      </c>
      <c r="G6" s="15" t="s">
        <v>221</v>
      </c>
      <c r="H6" s="15" t="s">
        <v>299</v>
      </c>
      <c r="I6" s="15">
        <v>6</v>
      </c>
      <c r="J6" s="15" t="s">
        <v>285</v>
      </c>
      <c r="K6" s="15">
        <v>225</v>
      </c>
      <c r="L6" s="15">
        <v>0.1</v>
      </c>
      <c r="M6" s="15"/>
      <c r="N6" s="15">
        <v>1215</v>
      </c>
      <c r="O6" s="15" t="s">
        <v>322</v>
      </c>
    </row>
    <row r="7" spans="1:21" x14ac:dyDescent="0.25">
      <c r="A7" s="2">
        <v>6</v>
      </c>
      <c r="B7" s="2"/>
      <c r="C7" s="2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</row>
    <row r="8" spans="1:21" x14ac:dyDescent="0.25">
      <c r="A8" s="2">
        <v>7</v>
      </c>
      <c r="B8" s="2"/>
      <c r="C8" s="2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</row>
    <row r="9" spans="1:21" x14ac:dyDescent="0.25">
      <c r="A9" s="2">
        <v>8</v>
      </c>
      <c r="B9" s="2"/>
      <c r="C9" s="2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</row>
    <row r="10" spans="1:21" x14ac:dyDescent="0.25">
      <c r="A10" s="2">
        <v>9</v>
      </c>
      <c r="B10" s="2"/>
      <c r="C10" s="2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</row>
    <row r="11" spans="1:21" x14ac:dyDescent="0.25">
      <c r="A11" s="2">
        <v>10</v>
      </c>
      <c r="B11" s="2"/>
      <c r="C11" s="2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</row>
    <row r="12" spans="1:21" x14ac:dyDescent="0.25">
      <c r="A12" s="2">
        <v>11</v>
      </c>
      <c r="B12" s="2"/>
      <c r="C12" s="2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</row>
    <row r="13" spans="1:21" x14ac:dyDescent="0.25">
      <c r="A13" s="2">
        <v>12</v>
      </c>
      <c r="B13" s="2"/>
      <c r="C13" s="2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1:21" x14ac:dyDescent="0.25">
      <c r="A14" s="2">
        <v>13</v>
      </c>
      <c r="B14" s="2"/>
      <c r="C14" s="2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</row>
    <row r="15" spans="1:21" x14ac:dyDescent="0.25">
      <c r="A15" s="2">
        <v>14</v>
      </c>
      <c r="B15" s="2"/>
      <c r="C15" s="2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</row>
    <row r="16" spans="1:21" x14ac:dyDescent="0.25">
      <c r="A16" s="2">
        <v>15</v>
      </c>
      <c r="B16" s="2"/>
      <c r="C16" s="2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</row>
    <row r="17" spans="1:15" x14ac:dyDescent="0.25">
      <c r="A17" s="2">
        <v>16</v>
      </c>
      <c r="B17" s="2"/>
      <c r="C17" s="2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</row>
    <row r="18" spans="1:15" x14ac:dyDescent="0.25">
      <c r="A18" s="2">
        <v>17</v>
      </c>
      <c r="B18" s="2"/>
      <c r="C18" s="2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</row>
    <row r="19" spans="1:15" x14ac:dyDescent="0.25">
      <c r="A19" s="2">
        <v>18</v>
      </c>
      <c r="B19" s="2"/>
      <c r="C19" s="2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</row>
    <row r="20" spans="1:15" x14ac:dyDescent="0.25">
      <c r="A20" s="2">
        <v>19</v>
      </c>
      <c r="B20" s="2"/>
      <c r="C20" s="2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</row>
    <row r="21" spans="1:15" x14ac:dyDescent="0.25">
      <c r="A21" s="2">
        <v>20</v>
      </c>
      <c r="B21" s="2"/>
      <c r="C21" s="2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</row>
    <row r="22" spans="1:15" x14ac:dyDescent="0.25">
      <c r="A22" s="2">
        <v>21</v>
      </c>
      <c r="B22" s="2"/>
      <c r="C22" s="2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</row>
    <row r="23" spans="1:15" x14ac:dyDescent="0.25">
      <c r="A23" s="2">
        <v>22</v>
      </c>
      <c r="B23" s="2"/>
      <c r="C23" s="2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</row>
    <row r="24" spans="1:15" x14ac:dyDescent="0.25">
      <c r="A24" s="2">
        <v>23</v>
      </c>
      <c r="B24" s="2"/>
      <c r="C24" s="2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</row>
    <row r="25" spans="1:15" x14ac:dyDescent="0.25">
      <c r="A25" s="2">
        <v>24</v>
      </c>
      <c r="B25" s="2"/>
      <c r="C25" s="2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</row>
    <row r="26" spans="1:15" x14ac:dyDescent="0.25">
      <c r="A26" s="2">
        <v>25</v>
      </c>
      <c r="B26" s="2"/>
      <c r="C26" s="2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</row>
    <row r="27" spans="1:15" x14ac:dyDescent="0.25">
      <c r="A27" s="2">
        <v>26</v>
      </c>
      <c r="B27" s="2"/>
      <c r="C27" s="2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</row>
    <row r="28" spans="1:15" x14ac:dyDescent="0.25">
      <c r="A28" s="2">
        <v>27</v>
      </c>
      <c r="B28" s="2"/>
      <c r="C28" s="2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</row>
    <row r="29" spans="1:15" x14ac:dyDescent="0.25">
      <c r="A29" s="2">
        <v>28</v>
      </c>
      <c r="B29" s="2"/>
      <c r="C29" s="2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</row>
    <row r="30" spans="1:15" x14ac:dyDescent="0.25">
      <c r="A30" s="2">
        <v>29</v>
      </c>
      <c r="B30" s="2"/>
      <c r="C30" s="2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</row>
    <row r="31" spans="1:15" x14ac:dyDescent="0.25">
      <c r="A31" s="2">
        <f>ROWS(tblPriceHistory[[#Headers],[رقم السجل]]:tblPriceHistory[[#This Row],[رقم السجل]])</f>
        <v>31</v>
      </c>
      <c r="B31" s="2"/>
      <c r="C31" s="2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</row>
    <row r="32" spans="1:15" x14ac:dyDescent="0.25">
      <c r="A32" s="2">
        <f>ROWS(tblPriceHistory[[#Headers],[رقم السجل]]:tblPriceHistory[[#This Row],[رقم السجل]])</f>
        <v>32</v>
      </c>
      <c r="B32" s="2"/>
      <c r="C32" s="2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</row>
    <row r="33" spans="1:15" x14ac:dyDescent="0.25">
      <c r="A33" s="2">
        <f>ROWS(tblPriceHistory[[#Headers],[رقم السجل]]:tblPriceHistory[[#This Row],[رقم السجل]])</f>
        <v>33</v>
      </c>
      <c r="B33" s="2"/>
      <c r="C33" s="2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</row>
    <row r="34" spans="1:15" x14ac:dyDescent="0.25">
      <c r="A34" s="2">
        <f>ROWS(tblPriceHistory[[#Headers],[رقم السجل]]:tblPriceHistory[[#This Row],[رقم السجل]])</f>
        <v>34</v>
      </c>
      <c r="B34" s="2"/>
      <c r="C34" s="2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</row>
    <row r="35" spans="1:15" x14ac:dyDescent="0.25">
      <c r="A35" s="2">
        <f>ROWS(tblPriceHistory[[#Headers],[رقم السجل]]:tblPriceHistory[[#This Row],[رقم السجل]])</f>
        <v>35</v>
      </c>
      <c r="B35" s="2"/>
      <c r="C35" s="2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</row>
  </sheetData>
  <pageMargins left="0.7" right="0.7" top="0.75" bottom="0.75" header="0.3" footer="0.3"/>
  <pageSetup scale="48" orientation="portrait" r:id="rId1"/>
  <colBreaks count="1" manualBreakCount="1">
    <brk id="15" max="1048575" man="1"/>
  </colBreak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00B050"/>
  </sheetPr>
  <dimension ref="A1:K67"/>
  <sheetViews>
    <sheetView rightToLeft="1" view="pageBreakPreview" zoomScale="81" zoomScaleNormal="100" zoomScaleSheetLayoutView="81" workbookViewId="0">
      <selection activeCell="K2" sqref="K2"/>
    </sheetView>
  </sheetViews>
  <sheetFormatPr defaultRowHeight="13.8" x14ac:dyDescent="0.25"/>
  <cols>
    <col min="1" max="1" width="16.59765625" bestFit="1" customWidth="1"/>
    <col min="2" max="2" width="17.09765625" style="55" bestFit="1" customWidth="1"/>
    <col min="3" max="3" width="21.5" bestFit="1" customWidth="1"/>
    <col min="4" max="4" width="18.796875" bestFit="1" customWidth="1"/>
    <col min="5" max="5" width="12.796875" bestFit="1" customWidth="1"/>
    <col min="6" max="6" width="22" bestFit="1" customWidth="1"/>
    <col min="7" max="7" width="20.69921875" bestFit="1" customWidth="1"/>
    <col min="8" max="8" width="16.59765625" bestFit="1" customWidth="1"/>
    <col min="9" max="9" width="17.8984375" bestFit="1" customWidth="1"/>
    <col min="10" max="10" width="16" bestFit="1" customWidth="1"/>
    <col min="11" max="11" width="14.796875" bestFit="1" customWidth="1"/>
  </cols>
  <sheetData>
    <row r="1" spans="1:11" ht="24.6" x14ac:dyDescent="0.25">
      <c r="A1" s="20" t="s">
        <v>146</v>
      </c>
      <c r="B1" s="71" t="s">
        <v>147</v>
      </c>
      <c r="C1" s="20" t="s">
        <v>151</v>
      </c>
      <c r="D1" s="20" t="s">
        <v>148</v>
      </c>
      <c r="E1" s="20" t="s">
        <v>149</v>
      </c>
      <c r="F1" s="20" t="s">
        <v>153</v>
      </c>
      <c r="G1" s="20" t="s">
        <v>176</v>
      </c>
      <c r="H1" s="20" t="s">
        <v>177</v>
      </c>
      <c r="I1" s="20" t="s">
        <v>150</v>
      </c>
      <c r="J1" s="20" t="s">
        <v>154</v>
      </c>
      <c r="K1" s="20" t="s">
        <v>45</v>
      </c>
    </row>
    <row r="2" spans="1:11" ht="20.399999999999999" x14ac:dyDescent="0.35">
      <c r="A2" s="75" t="s">
        <v>325</v>
      </c>
      <c r="B2" s="116">
        <v>46225</v>
      </c>
      <c r="C2" s="75" t="s">
        <v>171</v>
      </c>
      <c r="D2" s="75">
        <f>IF(tblPayments[[#This Row],[رقم العملية]]="","",_xlfn.XLOOKUP(tblPayments[[#This Row],[رقم العملية]],tblPurchaseRegister[رقم العملية],tblPurchaseRegister[رقم الفاتورة],""))</f>
        <v>347</v>
      </c>
      <c r="E2" s="75" t="str">
        <f>IF(tblPayments[[#This Row],[رقم العملية]]="","",_xlfn.XLOOKUP(tblPayments[[#This Row],[رقم العملية]],tblPurchaseRegister[رقم العملية],tblPurchaseRegister[المورد],""))</f>
        <v>FOR BED</v>
      </c>
      <c r="F2" s="75">
        <f>IF(tblPayments[[#This Row],[رقم العملية]]="","",_xlfn.XLOOKUP(tblPayments[[#This Row],[رقم العملية]],tblPurchaseRegister[رقم العملية],tblPurchaseRegister[إجمالي الفاتورة],0))</f>
        <v>29947.5</v>
      </c>
      <c r="G2" s="75">
        <v>29947.5</v>
      </c>
      <c r="H2" s="75">
        <f>IF(tblPayments[[#This Row],[رقم العملية]]="","",MAX(0,tblPayments[[#This Row],[إجمالي الفاتورة]]-tblPayments[[#This Row],[المبلغ المدفوع]]))</f>
        <v>0</v>
      </c>
      <c r="I2" s="75" t="s">
        <v>180</v>
      </c>
      <c r="J2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>مدفوع</v>
      </c>
      <c r="K2" s="75"/>
    </row>
    <row r="3" spans="1:11" ht="20.399999999999999" x14ac:dyDescent="0.35">
      <c r="A3" s="75" t="s">
        <v>326</v>
      </c>
      <c r="B3" s="116"/>
      <c r="C3" s="75"/>
      <c r="D3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3" s="75" t="str">
        <f>IF(tblPayments[[#This Row],[رقم العملية]]="","",_xlfn.XLOOKUP(tblPayments[[#This Row],[رقم العملية]],tblPurchaseRegister[رقم العملية],tblPurchaseRegister[المورد],""))</f>
        <v/>
      </c>
      <c r="F3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3" s="75"/>
      <c r="H3" s="75" t="str">
        <f>IF(tblPayments[[#This Row],[رقم العملية]]="","",MAX(0,tblPayments[[#This Row],[إجمالي الفاتورة]]-tblPayments[[#This Row],[المبلغ المدفوع]]))</f>
        <v/>
      </c>
      <c r="I3" s="75"/>
      <c r="J3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3" s="75"/>
    </row>
    <row r="4" spans="1:11" ht="20.399999999999999" x14ac:dyDescent="0.35">
      <c r="A4" s="75" t="s">
        <v>327</v>
      </c>
      <c r="B4" s="116"/>
      <c r="C4" s="75"/>
      <c r="D4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4" s="75" t="str">
        <f>IF(tblPayments[[#This Row],[رقم العملية]]="","",_xlfn.XLOOKUP(tblPayments[[#This Row],[رقم العملية]],tblPurchaseRegister[رقم العملية],tblPurchaseRegister[المورد],""))</f>
        <v/>
      </c>
      <c r="F4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4" s="75"/>
      <c r="H4" s="75" t="str">
        <f>IF(tblPayments[[#This Row],[رقم العملية]]="","",MAX(0,tblPayments[[#This Row],[إجمالي الفاتورة]]-tblPayments[[#This Row],[المبلغ المدفوع]]))</f>
        <v/>
      </c>
      <c r="I4" s="75"/>
      <c r="J4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4" s="75"/>
    </row>
    <row r="5" spans="1:11" ht="20.399999999999999" x14ac:dyDescent="0.35">
      <c r="A5" s="75" t="s">
        <v>328</v>
      </c>
      <c r="B5" s="116"/>
      <c r="C5" s="75"/>
      <c r="D5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5" s="75" t="str">
        <f>IF(tblPayments[[#This Row],[رقم العملية]]="","",_xlfn.XLOOKUP(tblPayments[[#This Row],[رقم العملية]],tblPurchaseRegister[رقم العملية],tblPurchaseRegister[المورد],""))</f>
        <v/>
      </c>
      <c r="F5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5" s="75"/>
      <c r="H5" s="75" t="str">
        <f>IF(tblPayments[[#This Row],[رقم العملية]]="","",MAX(0,tblPayments[[#This Row],[إجمالي الفاتورة]]-tblPayments[[#This Row],[المبلغ المدفوع]]))</f>
        <v/>
      </c>
      <c r="I5" s="75"/>
      <c r="J5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5" s="75"/>
    </row>
    <row r="6" spans="1:11" ht="20.399999999999999" x14ac:dyDescent="0.35">
      <c r="A6" s="75" t="s">
        <v>329</v>
      </c>
      <c r="B6" s="116"/>
      <c r="C6" s="75"/>
      <c r="D6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6" s="75" t="str">
        <f>IF(tblPayments[[#This Row],[رقم العملية]]="","",_xlfn.XLOOKUP(tblPayments[[#This Row],[رقم العملية]],tblPurchaseRegister[رقم العملية],tblPurchaseRegister[المورد],""))</f>
        <v/>
      </c>
      <c r="F6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6" s="75"/>
      <c r="H6" s="75" t="str">
        <f>IF(tblPayments[[#This Row],[رقم العملية]]="","",MAX(0,tblPayments[[#This Row],[إجمالي الفاتورة]]-tblPayments[[#This Row],[المبلغ المدفوع]]))</f>
        <v/>
      </c>
      <c r="I6" s="75"/>
      <c r="J6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6" s="75"/>
    </row>
    <row r="7" spans="1:11" ht="20.399999999999999" x14ac:dyDescent="0.35">
      <c r="A7" s="75" t="s">
        <v>330</v>
      </c>
      <c r="B7" s="116"/>
      <c r="C7" s="75"/>
      <c r="D7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7" s="75" t="str">
        <f>IF(tblPayments[[#This Row],[رقم العملية]]="","",_xlfn.XLOOKUP(tblPayments[[#This Row],[رقم العملية]],tblPurchaseRegister[رقم العملية],tblPurchaseRegister[المورد],""))</f>
        <v/>
      </c>
      <c r="F7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7" s="75"/>
      <c r="H7" s="75" t="str">
        <f>IF(tblPayments[[#This Row],[رقم العملية]]="","",MAX(0,tblPayments[[#This Row],[إجمالي الفاتورة]]-tblPayments[[#This Row],[المبلغ المدفوع]]))</f>
        <v/>
      </c>
      <c r="I7" s="75"/>
      <c r="J7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7" s="75"/>
    </row>
    <row r="8" spans="1:11" ht="20.399999999999999" x14ac:dyDescent="0.35">
      <c r="A8" s="75" t="s">
        <v>331</v>
      </c>
      <c r="B8" s="116"/>
      <c r="C8" s="75"/>
      <c r="D8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8" s="75" t="str">
        <f>IF(tblPayments[[#This Row],[رقم العملية]]="","",_xlfn.XLOOKUP(tblPayments[[#This Row],[رقم العملية]],tblPurchaseRegister[رقم العملية],tblPurchaseRegister[المورد],""))</f>
        <v/>
      </c>
      <c r="F8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8" s="75"/>
      <c r="H8" s="75" t="str">
        <f>IF(tblPayments[[#This Row],[رقم العملية]]="","",MAX(0,tblPayments[[#This Row],[إجمالي الفاتورة]]-tblPayments[[#This Row],[المبلغ المدفوع]]))</f>
        <v/>
      </c>
      <c r="I8" s="75"/>
      <c r="J8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8" s="75"/>
    </row>
    <row r="9" spans="1:11" ht="20.399999999999999" x14ac:dyDescent="0.35">
      <c r="A9" s="75" t="s">
        <v>332</v>
      </c>
      <c r="B9" s="116"/>
      <c r="C9" s="75"/>
      <c r="D9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9" s="75" t="str">
        <f>IF(tblPayments[[#This Row],[رقم العملية]]="","",_xlfn.XLOOKUP(tblPayments[[#This Row],[رقم العملية]],tblPurchaseRegister[رقم العملية],tblPurchaseRegister[المورد],""))</f>
        <v/>
      </c>
      <c r="F9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9" s="75"/>
      <c r="H9" s="75" t="str">
        <f>IF(tblPayments[[#This Row],[رقم العملية]]="","",MAX(0,tblPayments[[#This Row],[إجمالي الفاتورة]]-tblPayments[[#This Row],[المبلغ المدفوع]]))</f>
        <v/>
      </c>
      <c r="I9" s="75"/>
      <c r="J9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9" s="75"/>
    </row>
    <row r="10" spans="1:11" ht="20.399999999999999" x14ac:dyDescent="0.35">
      <c r="A10" s="75" t="s">
        <v>333</v>
      </c>
      <c r="B10" s="116"/>
      <c r="C10" s="75"/>
      <c r="D10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10" s="75" t="str">
        <f>IF(tblPayments[[#This Row],[رقم العملية]]="","",_xlfn.XLOOKUP(tblPayments[[#This Row],[رقم العملية]],tblPurchaseRegister[رقم العملية],tblPurchaseRegister[المورد],""))</f>
        <v/>
      </c>
      <c r="F10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10" s="75"/>
      <c r="H10" s="75" t="str">
        <f>IF(tblPayments[[#This Row],[رقم العملية]]="","",MAX(0,tblPayments[[#This Row],[إجمالي الفاتورة]]-tblPayments[[#This Row],[المبلغ المدفوع]]))</f>
        <v/>
      </c>
      <c r="I10" s="75"/>
      <c r="J10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10" s="75"/>
    </row>
    <row r="11" spans="1:11" ht="20.399999999999999" x14ac:dyDescent="0.35">
      <c r="A11" s="75" t="s">
        <v>334</v>
      </c>
      <c r="B11" s="116"/>
      <c r="C11" s="75"/>
      <c r="D11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11" s="75" t="str">
        <f>IF(tblPayments[[#This Row],[رقم العملية]]="","",_xlfn.XLOOKUP(tblPayments[[#This Row],[رقم العملية]],tblPurchaseRegister[رقم العملية],tblPurchaseRegister[المورد],""))</f>
        <v/>
      </c>
      <c r="F11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11" s="75"/>
      <c r="H11" s="75" t="str">
        <f>IF(tblPayments[[#This Row],[رقم العملية]]="","",MAX(0,tblPayments[[#This Row],[إجمالي الفاتورة]]-tblPayments[[#This Row],[المبلغ المدفوع]]))</f>
        <v/>
      </c>
      <c r="I11" s="75"/>
      <c r="J11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11" s="75"/>
    </row>
    <row r="12" spans="1:11" ht="20.399999999999999" x14ac:dyDescent="0.35">
      <c r="A12" s="75" t="s">
        <v>335</v>
      </c>
      <c r="B12" s="116"/>
      <c r="C12" s="75"/>
      <c r="D12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12" s="75" t="str">
        <f>IF(tblPayments[[#This Row],[رقم العملية]]="","",_xlfn.XLOOKUP(tblPayments[[#This Row],[رقم العملية]],tblPurchaseRegister[رقم العملية],tblPurchaseRegister[المورد],""))</f>
        <v/>
      </c>
      <c r="F12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12" s="75"/>
      <c r="H12" s="75" t="str">
        <f>IF(tblPayments[[#This Row],[رقم العملية]]="","",MAX(0,tblPayments[[#This Row],[إجمالي الفاتورة]]-tblPayments[[#This Row],[المبلغ المدفوع]]))</f>
        <v/>
      </c>
      <c r="I12" s="75"/>
      <c r="J12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12" s="75"/>
    </row>
    <row r="13" spans="1:11" ht="20.399999999999999" x14ac:dyDescent="0.35">
      <c r="A13" s="75" t="s">
        <v>336</v>
      </c>
      <c r="B13" s="116"/>
      <c r="C13" s="75"/>
      <c r="D13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13" s="75" t="str">
        <f>IF(tblPayments[[#This Row],[رقم العملية]]="","",_xlfn.XLOOKUP(tblPayments[[#This Row],[رقم العملية]],tblPurchaseRegister[رقم العملية],tblPurchaseRegister[المورد],""))</f>
        <v/>
      </c>
      <c r="F13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13" s="75"/>
      <c r="H13" s="75" t="str">
        <f>IF(tblPayments[[#This Row],[رقم العملية]]="","",MAX(0,tblPayments[[#This Row],[إجمالي الفاتورة]]-tblPayments[[#This Row],[المبلغ المدفوع]]))</f>
        <v/>
      </c>
      <c r="I13" s="75"/>
      <c r="J13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13" s="75"/>
    </row>
    <row r="14" spans="1:11" ht="20.399999999999999" x14ac:dyDescent="0.35">
      <c r="A14" s="75" t="s">
        <v>337</v>
      </c>
      <c r="B14" s="116"/>
      <c r="C14" s="75"/>
      <c r="D14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14" s="75" t="str">
        <f>IF(tblPayments[[#This Row],[رقم العملية]]="","",_xlfn.XLOOKUP(tblPayments[[#This Row],[رقم العملية]],tblPurchaseRegister[رقم العملية],tblPurchaseRegister[المورد],""))</f>
        <v/>
      </c>
      <c r="F14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14" s="75"/>
      <c r="H14" s="75" t="str">
        <f>IF(tblPayments[[#This Row],[رقم العملية]]="","",MAX(0,tblPayments[[#This Row],[إجمالي الفاتورة]]-tblPayments[[#This Row],[المبلغ المدفوع]]))</f>
        <v/>
      </c>
      <c r="I14" s="75"/>
      <c r="J14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14" s="75"/>
    </row>
    <row r="15" spans="1:11" ht="20.399999999999999" x14ac:dyDescent="0.35">
      <c r="A15" s="75" t="s">
        <v>338</v>
      </c>
      <c r="B15" s="116"/>
      <c r="C15" s="75"/>
      <c r="D15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15" s="75" t="str">
        <f>IF(tblPayments[[#This Row],[رقم العملية]]="","",_xlfn.XLOOKUP(tblPayments[[#This Row],[رقم العملية]],tblPurchaseRegister[رقم العملية],tblPurchaseRegister[المورد],""))</f>
        <v/>
      </c>
      <c r="F15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15" s="75"/>
      <c r="H15" s="75" t="str">
        <f>IF(tblPayments[[#This Row],[رقم العملية]]="","",MAX(0,tblPayments[[#This Row],[إجمالي الفاتورة]]-tblPayments[[#This Row],[المبلغ المدفوع]]))</f>
        <v/>
      </c>
      <c r="I15" s="75"/>
      <c r="J15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15" s="75"/>
    </row>
    <row r="16" spans="1:11" ht="20.399999999999999" x14ac:dyDescent="0.35">
      <c r="A16" s="75" t="s">
        <v>339</v>
      </c>
      <c r="B16" s="116"/>
      <c r="C16" s="75"/>
      <c r="D16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16" s="75" t="str">
        <f>IF(tblPayments[[#This Row],[رقم العملية]]="","",_xlfn.XLOOKUP(tblPayments[[#This Row],[رقم العملية]],tblPurchaseRegister[رقم العملية],tblPurchaseRegister[المورد],""))</f>
        <v/>
      </c>
      <c r="F16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16" s="75"/>
      <c r="H16" s="75" t="str">
        <f>IF(tblPayments[[#This Row],[رقم العملية]]="","",MAX(0,tblPayments[[#This Row],[إجمالي الفاتورة]]-tblPayments[[#This Row],[المبلغ المدفوع]]))</f>
        <v/>
      </c>
      <c r="I16" s="75"/>
      <c r="J16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16" s="75"/>
    </row>
    <row r="17" spans="1:11" ht="20.399999999999999" x14ac:dyDescent="0.35">
      <c r="A17" s="75" t="s">
        <v>340</v>
      </c>
      <c r="B17" s="116"/>
      <c r="C17" s="75"/>
      <c r="D17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17" s="75" t="str">
        <f>IF(tblPayments[[#This Row],[رقم العملية]]="","",_xlfn.XLOOKUP(tblPayments[[#This Row],[رقم العملية]],tblPurchaseRegister[رقم العملية],tblPurchaseRegister[المورد],""))</f>
        <v/>
      </c>
      <c r="F17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17" s="75"/>
      <c r="H17" s="75" t="str">
        <f>IF(tblPayments[[#This Row],[رقم العملية]]="","",MAX(0,tblPayments[[#This Row],[إجمالي الفاتورة]]-tblPayments[[#This Row],[المبلغ المدفوع]]))</f>
        <v/>
      </c>
      <c r="I17" s="75"/>
      <c r="J17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17" s="75"/>
    </row>
    <row r="18" spans="1:11" ht="20.399999999999999" x14ac:dyDescent="0.35">
      <c r="A18" s="75" t="s">
        <v>341</v>
      </c>
      <c r="B18" s="116"/>
      <c r="C18" s="75"/>
      <c r="D18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18" s="75" t="str">
        <f>IF(tblPayments[[#This Row],[رقم العملية]]="","",_xlfn.XLOOKUP(tblPayments[[#This Row],[رقم العملية]],tblPurchaseRegister[رقم العملية],tblPurchaseRegister[المورد],""))</f>
        <v/>
      </c>
      <c r="F18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18" s="75"/>
      <c r="H18" s="75" t="str">
        <f>IF(tblPayments[[#This Row],[رقم العملية]]="","",MAX(0,tblPayments[[#This Row],[إجمالي الفاتورة]]-tblPayments[[#This Row],[المبلغ المدفوع]]))</f>
        <v/>
      </c>
      <c r="I18" s="75"/>
      <c r="J18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18" s="75"/>
    </row>
    <row r="19" spans="1:11" ht="20.399999999999999" x14ac:dyDescent="0.35">
      <c r="A19" s="75" t="s">
        <v>342</v>
      </c>
      <c r="B19" s="116"/>
      <c r="C19" s="75"/>
      <c r="D19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19" s="75" t="str">
        <f>IF(tblPayments[[#This Row],[رقم العملية]]="","",_xlfn.XLOOKUP(tblPayments[[#This Row],[رقم العملية]],tblPurchaseRegister[رقم العملية],tblPurchaseRegister[المورد],""))</f>
        <v/>
      </c>
      <c r="F19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19" s="75"/>
      <c r="H19" s="75" t="str">
        <f>IF(tblPayments[[#This Row],[رقم العملية]]="","",MAX(0,tblPayments[[#This Row],[إجمالي الفاتورة]]-tblPayments[[#This Row],[المبلغ المدفوع]]))</f>
        <v/>
      </c>
      <c r="I19" s="75"/>
      <c r="J19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19" s="75"/>
    </row>
    <row r="20" spans="1:11" ht="20.399999999999999" x14ac:dyDescent="0.35">
      <c r="A20" s="75" t="s">
        <v>343</v>
      </c>
      <c r="B20" s="116"/>
      <c r="C20" s="75"/>
      <c r="D20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20" s="75" t="str">
        <f>IF(tblPayments[[#This Row],[رقم العملية]]="","",_xlfn.XLOOKUP(tblPayments[[#This Row],[رقم العملية]],tblPurchaseRegister[رقم العملية],tblPurchaseRegister[المورد],""))</f>
        <v/>
      </c>
      <c r="F20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20" s="75"/>
      <c r="H20" s="75" t="str">
        <f>IF(tblPayments[[#This Row],[رقم العملية]]="","",MAX(0,tblPayments[[#This Row],[إجمالي الفاتورة]]-tblPayments[[#This Row],[المبلغ المدفوع]]))</f>
        <v/>
      </c>
      <c r="I20" s="75"/>
      <c r="J20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20" s="75"/>
    </row>
    <row r="21" spans="1:11" ht="20.399999999999999" x14ac:dyDescent="0.35">
      <c r="A21" s="75" t="s">
        <v>344</v>
      </c>
      <c r="B21" s="116"/>
      <c r="C21" s="75"/>
      <c r="D21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21" s="75" t="str">
        <f>IF(tblPayments[[#This Row],[رقم العملية]]="","",_xlfn.XLOOKUP(tblPayments[[#This Row],[رقم العملية]],tblPurchaseRegister[رقم العملية],tblPurchaseRegister[المورد],""))</f>
        <v/>
      </c>
      <c r="F21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21" s="75"/>
      <c r="H21" s="75" t="str">
        <f>IF(tblPayments[[#This Row],[رقم العملية]]="","",MAX(0,tblPayments[[#This Row],[إجمالي الفاتورة]]-tblPayments[[#This Row],[المبلغ المدفوع]]))</f>
        <v/>
      </c>
      <c r="I21" s="75"/>
      <c r="J21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21" s="75"/>
    </row>
    <row r="22" spans="1:11" ht="20.399999999999999" x14ac:dyDescent="0.35">
      <c r="A22" s="75" t="str" cm="1">
        <f t="array" ref="A22">IF(tblPayments[[#This Row],[رقم العملية]]="","","PAY-"&amp;TEXT(ROW()-ROW(tblPayments[#Headers]),"000000"))</f>
        <v/>
      </c>
      <c r="B22" s="116"/>
      <c r="C22" s="75"/>
      <c r="D22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22" s="75" t="str">
        <f>IF(tblPayments[[#This Row],[رقم العملية]]="","",_xlfn.XLOOKUP(tblPayments[[#This Row],[رقم العملية]],tblPurchaseRegister[رقم العملية],tblPurchaseRegister[المورد],""))</f>
        <v/>
      </c>
      <c r="F22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22" s="75"/>
      <c r="H22" s="75" t="str">
        <f>IF(tblPayments[[#This Row],[رقم العملية]]="","",MAX(0,tblPayments[[#This Row],[إجمالي الفاتورة]]-tblPayments[[#This Row],[المبلغ المدفوع]]))</f>
        <v/>
      </c>
      <c r="I22" s="75"/>
      <c r="J22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22" s="75"/>
    </row>
    <row r="23" spans="1:11" ht="20.399999999999999" x14ac:dyDescent="0.35">
      <c r="A23" s="75" t="str" cm="1">
        <f t="array" ref="A23">IF(tblPayments[[#This Row],[رقم العملية]]="","","PAY-"&amp;TEXT(ROW()-ROW(tblPayments[#Headers]),"000000"))</f>
        <v/>
      </c>
      <c r="B23" s="116"/>
      <c r="C23" s="75"/>
      <c r="D23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23" s="75" t="str">
        <f>IF(tblPayments[[#This Row],[رقم العملية]]="","",_xlfn.XLOOKUP(tblPayments[[#This Row],[رقم العملية]],tblPurchaseRegister[رقم العملية],tblPurchaseRegister[المورد],""))</f>
        <v/>
      </c>
      <c r="F23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23" s="75"/>
      <c r="H23" s="75" t="str">
        <f>IF(tblPayments[[#This Row],[رقم العملية]]="","",MAX(0,tblPayments[[#This Row],[إجمالي الفاتورة]]-tblPayments[[#This Row],[المبلغ المدفوع]]))</f>
        <v/>
      </c>
      <c r="I23" s="75"/>
      <c r="J23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23" s="75"/>
    </row>
    <row r="24" spans="1:11" ht="20.399999999999999" x14ac:dyDescent="0.35">
      <c r="A24" s="75" t="str" cm="1">
        <f t="array" ref="A24">IF(tblPayments[[#This Row],[رقم العملية]]="","","PAY-"&amp;TEXT(ROW()-ROW(tblPayments[#Headers]),"000000"))</f>
        <v/>
      </c>
      <c r="B24" s="116"/>
      <c r="C24" s="75"/>
      <c r="D24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24" s="75" t="str">
        <f>IF(tblPayments[[#This Row],[رقم العملية]]="","",_xlfn.XLOOKUP(tblPayments[[#This Row],[رقم العملية]],tblPurchaseRegister[رقم العملية],tblPurchaseRegister[المورد],""))</f>
        <v/>
      </c>
      <c r="F24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24" s="75"/>
      <c r="H24" s="75" t="str">
        <f>IF(tblPayments[[#This Row],[رقم العملية]]="","",MAX(0,tblPayments[[#This Row],[إجمالي الفاتورة]]-tblPayments[[#This Row],[المبلغ المدفوع]]))</f>
        <v/>
      </c>
      <c r="I24" s="75"/>
      <c r="J24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24" s="75"/>
    </row>
    <row r="25" spans="1:11" ht="20.399999999999999" x14ac:dyDescent="0.35">
      <c r="A25" s="75" t="str" cm="1">
        <f t="array" ref="A25">IF(tblPayments[[#This Row],[رقم العملية]]="","","PAY-"&amp;TEXT(ROW()-ROW(tblPayments[#Headers]),"000000"))</f>
        <v/>
      </c>
      <c r="B25" s="116"/>
      <c r="C25" s="75"/>
      <c r="D25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25" s="75" t="str">
        <f>IF(tblPayments[[#This Row],[رقم العملية]]="","",_xlfn.XLOOKUP(tblPayments[[#This Row],[رقم العملية]],tblPurchaseRegister[رقم العملية],tblPurchaseRegister[المورد],""))</f>
        <v/>
      </c>
      <c r="F25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25" s="75"/>
      <c r="H25" s="75" t="str">
        <f>IF(tblPayments[[#This Row],[رقم العملية]]="","",MAX(0,tblPayments[[#This Row],[إجمالي الفاتورة]]-tblPayments[[#This Row],[المبلغ المدفوع]]))</f>
        <v/>
      </c>
      <c r="I25" s="75"/>
      <c r="J25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25" s="75"/>
    </row>
    <row r="26" spans="1:11" ht="20.399999999999999" x14ac:dyDescent="0.35">
      <c r="A26" s="75" t="str" cm="1">
        <f t="array" ref="A26">IF(tblPayments[[#This Row],[رقم العملية]]="","","PAY-"&amp;TEXT(ROW()-ROW(tblPayments[#Headers]),"000000"))</f>
        <v/>
      </c>
      <c r="B26" s="116"/>
      <c r="C26" s="75"/>
      <c r="D26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26" s="75" t="str">
        <f>IF(tblPayments[[#This Row],[رقم العملية]]="","",_xlfn.XLOOKUP(tblPayments[[#This Row],[رقم العملية]],tblPurchaseRegister[رقم العملية],tblPurchaseRegister[المورد],""))</f>
        <v/>
      </c>
      <c r="F26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26" s="75"/>
      <c r="H26" s="75" t="str">
        <f>IF(tblPayments[[#This Row],[رقم العملية]]="","",MAX(0,tblPayments[[#This Row],[إجمالي الفاتورة]]-tblPayments[[#This Row],[المبلغ المدفوع]]))</f>
        <v/>
      </c>
      <c r="I26" s="75"/>
      <c r="J26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26" s="75"/>
    </row>
    <row r="27" spans="1:11" ht="20.399999999999999" x14ac:dyDescent="0.35">
      <c r="A27" s="75" t="str" cm="1">
        <f t="array" ref="A27">IF(tblPayments[[#This Row],[رقم العملية]]="","","PAY-"&amp;TEXT(ROW()-ROW(tblPayments[#Headers]),"000000"))</f>
        <v/>
      </c>
      <c r="B27" s="116"/>
      <c r="C27" s="75"/>
      <c r="D27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27" s="75" t="str">
        <f>IF(tblPayments[[#This Row],[رقم العملية]]="","",_xlfn.XLOOKUP(tblPayments[[#This Row],[رقم العملية]],tblPurchaseRegister[رقم العملية],tblPurchaseRegister[المورد],""))</f>
        <v/>
      </c>
      <c r="F27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27" s="75"/>
      <c r="H27" s="75" t="str">
        <f>IF(tblPayments[[#This Row],[رقم العملية]]="","",MAX(0,tblPayments[[#This Row],[إجمالي الفاتورة]]-tblPayments[[#This Row],[المبلغ المدفوع]]))</f>
        <v/>
      </c>
      <c r="I27" s="75"/>
      <c r="J27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27" s="75"/>
    </row>
    <row r="28" spans="1:11" ht="20.399999999999999" x14ac:dyDescent="0.35">
      <c r="A28" s="75" t="str" cm="1">
        <f t="array" ref="A28">IF(tblPayments[[#This Row],[رقم العملية]]="","","PAY-"&amp;TEXT(ROW()-ROW(tblPayments[#Headers]),"000000"))</f>
        <v/>
      </c>
      <c r="B28" s="116"/>
      <c r="C28" s="75"/>
      <c r="D28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28" s="75" t="str">
        <f>IF(tblPayments[[#This Row],[رقم العملية]]="","",_xlfn.XLOOKUP(tblPayments[[#This Row],[رقم العملية]],tblPurchaseRegister[رقم العملية],tblPurchaseRegister[المورد],""))</f>
        <v/>
      </c>
      <c r="F28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28" s="75"/>
      <c r="H28" s="75" t="str">
        <f>IF(tblPayments[[#This Row],[رقم العملية]]="","",MAX(0,tblPayments[[#This Row],[إجمالي الفاتورة]]-tblPayments[[#This Row],[المبلغ المدفوع]]))</f>
        <v/>
      </c>
      <c r="I28" s="75"/>
      <c r="J28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28" s="75"/>
    </row>
    <row r="29" spans="1:11" ht="20.399999999999999" x14ac:dyDescent="0.35">
      <c r="A29" s="75" t="str" cm="1">
        <f t="array" ref="A29">IF(tblPayments[[#This Row],[رقم العملية]]="","","PAY-"&amp;TEXT(ROW()-ROW(tblPayments[#Headers]),"000000"))</f>
        <v/>
      </c>
      <c r="B29" s="116"/>
      <c r="C29" s="75"/>
      <c r="D29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29" s="75" t="str">
        <f>IF(tblPayments[[#This Row],[رقم العملية]]="","",_xlfn.XLOOKUP(tblPayments[[#This Row],[رقم العملية]],tblPurchaseRegister[رقم العملية],tblPurchaseRegister[المورد],""))</f>
        <v/>
      </c>
      <c r="F29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29" s="75"/>
      <c r="H29" s="75" t="str">
        <f>IF(tblPayments[[#This Row],[رقم العملية]]="","",MAX(0,tblPayments[[#This Row],[إجمالي الفاتورة]]-tblPayments[[#This Row],[المبلغ المدفوع]]))</f>
        <v/>
      </c>
      <c r="I29" s="75"/>
      <c r="J29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29" s="75"/>
    </row>
    <row r="30" spans="1:11" ht="20.399999999999999" x14ac:dyDescent="0.35">
      <c r="A30" s="75" t="str" cm="1">
        <f t="array" ref="A30">IF(tblPayments[[#This Row],[رقم العملية]]="","","PAY-"&amp;TEXT(ROW()-ROW(tblPayments[#Headers]),"000000"))</f>
        <v/>
      </c>
      <c r="B30" s="116"/>
      <c r="C30" s="75"/>
      <c r="D30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30" s="75" t="str">
        <f>IF(tblPayments[[#This Row],[رقم العملية]]="","",_xlfn.XLOOKUP(tblPayments[[#This Row],[رقم العملية]],tblPurchaseRegister[رقم العملية],tblPurchaseRegister[المورد],""))</f>
        <v/>
      </c>
      <c r="F30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30" s="75"/>
      <c r="H30" s="75" t="str">
        <f>IF(tblPayments[[#This Row],[رقم العملية]]="","",MAX(0,tblPayments[[#This Row],[إجمالي الفاتورة]]-tblPayments[[#This Row],[المبلغ المدفوع]]))</f>
        <v/>
      </c>
      <c r="I30" s="75"/>
      <c r="J30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30" s="75"/>
    </row>
    <row r="31" spans="1:11" ht="20.399999999999999" x14ac:dyDescent="0.35">
      <c r="A31" s="75" t="str" cm="1">
        <f t="array" ref="A31">IF(tblPayments[[#This Row],[رقم العملية]]="","","PAY-"&amp;TEXT(ROW()-ROW(tblPayments[#Headers]),"000000"))</f>
        <v/>
      </c>
      <c r="B31" s="116"/>
      <c r="C31" s="75"/>
      <c r="D31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31" s="75" t="str">
        <f>IF(tblPayments[[#This Row],[رقم العملية]]="","",_xlfn.XLOOKUP(tblPayments[[#This Row],[رقم العملية]],tblPurchaseRegister[رقم العملية],tblPurchaseRegister[المورد],""))</f>
        <v/>
      </c>
      <c r="F31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31" s="75"/>
      <c r="H31" s="75" t="str">
        <f>IF(tblPayments[[#This Row],[رقم العملية]]="","",MAX(0,tblPayments[[#This Row],[إجمالي الفاتورة]]-tblPayments[[#This Row],[المبلغ المدفوع]]))</f>
        <v/>
      </c>
      <c r="I31" s="75"/>
      <c r="J31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31" s="75"/>
    </row>
    <row r="32" spans="1:11" ht="20.399999999999999" x14ac:dyDescent="0.35">
      <c r="A32" s="75" t="str" cm="1">
        <f t="array" ref="A32">IF(tblPayments[[#This Row],[رقم العملية]]="","","PAY-"&amp;TEXT(ROW()-ROW(tblPayments[#Headers]),"000000"))</f>
        <v/>
      </c>
      <c r="B32" s="116"/>
      <c r="C32" s="75"/>
      <c r="D32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32" s="75" t="str">
        <f>IF(tblPayments[[#This Row],[رقم العملية]]="","",_xlfn.XLOOKUP(tblPayments[[#This Row],[رقم العملية]],tblPurchaseRegister[رقم العملية],tblPurchaseRegister[المورد],""))</f>
        <v/>
      </c>
      <c r="F32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32" s="75"/>
      <c r="H32" s="75" t="str">
        <f>IF(tblPayments[[#This Row],[رقم العملية]]="","",MAX(0,tblPayments[[#This Row],[إجمالي الفاتورة]]-tblPayments[[#This Row],[المبلغ المدفوع]]))</f>
        <v/>
      </c>
      <c r="I32" s="75"/>
      <c r="J32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32" s="75"/>
    </row>
    <row r="33" spans="1:11" ht="20.399999999999999" x14ac:dyDescent="0.35">
      <c r="A33" s="75" t="str" cm="1">
        <f t="array" ref="A33">IF(tblPayments[[#This Row],[رقم العملية]]="","","PAY-"&amp;TEXT(ROW()-ROW(tblPayments[#Headers]),"000000"))</f>
        <v/>
      </c>
      <c r="B33" s="116"/>
      <c r="C33" s="75"/>
      <c r="D33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33" s="75" t="str">
        <f>IF(tblPayments[[#This Row],[رقم العملية]]="","",_xlfn.XLOOKUP(tblPayments[[#This Row],[رقم العملية]],tblPurchaseRegister[رقم العملية],tblPurchaseRegister[المورد],""))</f>
        <v/>
      </c>
      <c r="F33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33" s="75"/>
      <c r="H33" s="75" t="str">
        <f>IF(tblPayments[[#This Row],[رقم العملية]]="","",MAX(0,tblPayments[[#This Row],[إجمالي الفاتورة]]-tblPayments[[#This Row],[المبلغ المدفوع]]))</f>
        <v/>
      </c>
      <c r="I33" s="75"/>
      <c r="J33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33" s="75"/>
    </row>
    <row r="34" spans="1:11" ht="20.399999999999999" x14ac:dyDescent="0.35">
      <c r="A34" s="75" t="str" cm="1">
        <f t="array" ref="A34">IF(tblPayments[[#This Row],[رقم العملية]]="","","PAY-"&amp;TEXT(ROW()-ROW(tblPayments[#Headers]),"000000"))</f>
        <v/>
      </c>
      <c r="B34" s="116"/>
      <c r="C34" s="75"/>
      <c r="D34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34" s="75" t="str">
        <f>IF(tblPayments[[#This Row],[رقم العملية]]="","",_xlfn.XLOOKUP(tblPayments[[#This Row],[رقم العملية]],tblPurchaseRegister[رقم العملية],tblPurchaseRegister[المورد],""))</f>
        <v/>
      </c>
      <c r="F34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34" s="75"/>
      <c r="H34" s="75" t="str">
        <f>IF(tblPayments[[#This Row],[رقم العملية]]="","",MAX(0,tblPayments[[#This Row],[إجمالي الفاتورة]]-tblPayments[[#This Row],[المبلغ المدفوع]]))</f>
        <v/>
      </c>
      <c r="I34" s="75"/>
      <c r="J34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34" s="75"/>
    </row>
    <row r="35" spans="1:11" ht="20.399999999999999" x14ac:dyDescent="0.35">
      <c r="A35" s="75" t="str" cm="1">
        <f t="array" ref="A35">IF(tblPayments[[#This Row],[رقم العملية]]="","","PAY-"&amp;TEXT(ROW()-ROW(tblPayments[#Headers]),"000000"))</f>
        <v/>
      </c>
      <c r="B35" s="116"/>
      <c r="C35" s="75"/>
      <c r="D35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35" s="75" t="str">
        <f>IF(tblPayments[[#This Row],[رقم العملية]]="","",_xlfn.XLOOKUP(tblPayments[[#This Row],[رقم العملية]],tblPurchaseRegister[رقم العملية],tblPurchaseRegister[المورد],""))</f>
        <v/>
      </c>
      <c r="F35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35" s="75"/>
      <c r="H35" s="75" t="str">
        <f>IF(tblPayments[[#This Row],[رقم العملية]]="","",MAX(0,tblPayments[[#This Row],[إجمالي الفاتورة]]-tblPayments[[#This Row],[المبلغ المدفوع]]))</f>
        <v/>
      </c>
      <c r="I35" s="75"/>
      <c r="J35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35" s="75"/>
    </row>
    <row r="36" spans="1:11" ht="20.399999999999999" x14ac:dyDescent="0.35">
      <c r="A36" s="75" t="str" cm="1">
        <f t="array" ref="A36">IF(tblPayments[[#This Row],[رقم العملية]]="","","PAY-"&amp;TEXT(ROW()-ROW(tblPayments[#Headers]),"000000"))</f>
        <v/>
      </c>
      <c r="B36" s="116"/>
      <c r="C36" s="75"/>
      <c r="D36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36" s="75" t="str">
        <f>IF(tblPayments[[#This Row],[رقم العملية]]="","",_xlfn.XLOOKUP(tblPayments[[#This Row],[رقم العملية]],tblPurchaseRegister[رقم العملية],tblPurchaseRegister[المورد],""))</f>
        <v/>
      </c>
      <c r="F36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36" s="75"/>
      <c r="H36" s="75" t="str">
        <f>IF(tblPayments[[#This Row],[رقم العملية]]="","",MAX(0,tblPayments[[#This Row],[إجمالي الفاتورة]]-tblPayments[[#This Row],[المبلغ المدفوع]]))</f>
        <v/>
      </c>
      <c r="I36" s="75"/>
      <c r="J36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36" s="75"/>
    </row>
    <row r="37" spans="1:11" ht="20.399999999999999" x14ac:dyDescent="0.35">
      <c r="A37" s="75" t="str" cm="1">
        <f t="array" ref="A37">IF(tblPayments[[#This Row],[رقم العملية]]="","","PAY-"&amp;TEXT(ROW()-ROW(tblPayments[#Headers]),"000000"))</f>
        <v/>
      </c>
      <c r="B37" s="116"/>
      <c r="C37" s="75"/>
      <c r="D37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37" s="75" t="str">
        <f>IF(tblPayments[[#This Row],[رقم العملية]]="","",_xlfn.XLOOKUP(tblPayments[[#This Row],[رقم العملية]],tblPurchaseRegister[رقم العملية],tblPurchaseRegister[المورد],""))</f>
        <v/>
      </c>
      <c r="F37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37" s="75"/>
      <c r="H37" s="75" t="str">
        <f>IF(tblPayments[[#This Row],[رقم العملية]]="","",MAX(0,tblPayments[[#This Row],[إجمالي الفاتورة]]-tblPayments[[#This Row],[المبلغ المدفوع]]))</f>
        <v/>
      </c>
      <c r="I37" s="75"/>
      <c r="J37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37" s="75"/>
    </row>
    <row r="38" spans="1:11" ht="20.399999999999999" x14ac:dyDescent="0.35">
      <c r="A38" s="75" t="str" cm="1">
        <f t="array" ref="A38">IF(tblPayments[[#This Row],[رقم العملية]]="","","PAY-"&amp;TEXT(ROW()-ROW(tblPayments[#Headers]),"000000"))</f>
        <v/>
      </c>
      <c r="B38" s="116"/>
      <c r="C38" s="75"/>
      <c r="D38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38" s="75" t="str">
        <f>IF(tblPayments[[#This Row],[رقم العملية]]="","",_xlfn.XLOOKUP(tblPayments[[#This Row],[رقم العملية]],tblPurchaseRegister[رقم العملية],tblPurchaseRegister[المورد],""))</f>
        <v/>
      </c>
      <c r="F38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38" s="75"/>
      <c r="H38" s="75" t="str">
        <f>IF(tblPayments[[#This Row],[رقم العملية]]="","",MAX(0,tblPayments[[#This Row],[إجمالي الفاتورة]]-tblPayments[[#This Row],[المبلغ المدفوع]]))</f>
        <v/>
      </c>
      <c r="I38" s="75"/>
      <c r="J38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38" s="75"/>
    </row>
    <row r="39" spans="1:11" ht="20.399999999999999" x14ac:dyDescent="0.35">
      <c r="A39" s="75" t="str" cm="1">
        <f t="array" ref="A39">IF(tblPayments[[#This Row],[رقم العملية]]="","","PAY-"&amp;TEXT(ROW()-ROW(tblPayments[#Headers]),"000000"))</f>
        <v/>
      </c>
      <c r="B39" s="116"/>
      <c r="C39" s="75"/>
      <c r="D39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39" s="75" t="str">
        <f>IF(tblPayments[[#This Row],[رقم العملية]]="","",_xlfn.XLOOKUP(tblPayments[[#This Row],[رقم العملية]],tblPurchaseRegister[رقم العملية],tblPurchaseRegister[المورد],""))</f>
        <v/>
      </c>
      <c r="F39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39" s="75"/>
      <c r="H39" s="75" t="str">
        <f>IF(tblPayments[[#This Row],[رقم العملية]]="","",MAX(0,tblPayments[[#This Row],[إجمالي الفاتورة]]-tblPayments[[#This Row],[المبلغ المدفوع]]))</f>
        <v/>
      </c>
      <c r="I39" s="75"/>
      <c r="J39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39" s="75"/>
    </row>
    <row r="40" spans="1:11" ht="20.399999999999999" x14ac:dyDescent="0.35">
      <c r="A40" s="75" t="str" cm="1">
        <f t="array" ref="A40">IF(tblPayments[[#This Row],[رقم العملية]]="","","PAY-"&amp;TEXT(ROW()-ROW(tblPayments[#Headers]),"000000"))</f>
        <v/>
      </c>
      <c r="B40" s="116"/>
      <c r="C40" s="75"/>
      <c r="D40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40" s="75" t="str">
        <f>IF(tblPayments[[#This Row],[رقم العملية]]="","",_xlfn.XLOOKUP(tblPayments[[#This Row],[رقم العملية]],tblPurchaseRegister[رقم العملية],tblPurchaseRegister[المورد],""))</f>
        <v/>
      </c>
      <c r="F40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40" s="75"/>
      <c r="H40" s="75" t="str">
        <f>IF(tblPayments[[#This Row],[رقم العملية]]="","",MAX(0,tblPayments[[#This Row],[إجمالي الفاتورة]]-tblPayments[[#This Row],[المبلغ المدفوع]]))</f>
        <v/>
      </c>
      <c r="I40" s="75"/>
      <c r="J40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40" s="75"/>
    </row>
    <row r="41" spans="1:11" ht="20.399999999999999" x14ac:dyDescent="0.35">
      <c r="A41" s="75" t="str" cm="1">
        <f t="array" ref="A41">IF(tblPayments[[#This Row],[رقم العملية]]="","","PAY-"&amp;TEXT(ROW()-ROW(tblPayments[#Headers]),"000000"))</f>
        <v/>
      </c>
      <c r="B41" s="116"/>
      <c r="C41" s="75"/>
      <c r="D41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41" s="75" t="str">
        <f>IF(tblPayments[[#This Row],[رقم العملية]]="","",_xlfn.XLOOKUP(tblPayments[[#This Row],[رقم العملية]],tblPurchaseRegister[رقم العملية],tblPurchaseRegister[المورد],""))</f>
        <v/>
      </c>
      <c r="F41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41" s="75"/>
      <c r="H41" s="75" t="str">
        <f>IF(tblPayments[[#This Row],[رقم العملية]]="","",MAX(0,tblPayments[[#This Row],[إجمالي الفاتورة]]-tblPayments[[#This Row],[المبلغ المدفوع]]))</f>
        <v/>
      </c>
      <c r="I41" s="75"/>
      <c r="J41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41" s="75"/>
    </row>
    <row r="42" spans="1:11" ht="20.399999999999999" x14ac:dyDescent="0.35">
      <c r="A42" s="75" t="str" cm="1">
        <f t="array" ref="A42">IF(tblPayments[[#This Row],[رقم العملية]]="","","PAY-"&amp;TEXT(ROW()-ROW(tblPayments[#Headers]),"000000"))</f>
        <v/>
      </c>
      <c r="B42" s="116"/>
      <c r="C42" s="75"/>
      <c r="D42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42" s="75" t="str">
        <f>IF(tblPayments[[#This Row],[رقم العملية]]="","",_xlfn.XLOOKUP(tblPayments[[#This Row],[رقم العملية]],tblPurchaseRegister[رقم العملية],tblPurchaseRegister[المورد],""))</f>
        <v/>
      </c>
      <c r="F42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42" s="75"/>
      <c r="H42" s="75" t="str">
        <f>IF(tblPayments[[#This Row],[رقم العملية]]="","",MAX(0,tblPayments[[#This Row],[إجمالي الفاتورة]]-tblPayments[[#This Row],[المبلغ المدفوع]]))</f>
        <v/>
      </c>
      <c r="I42" s="75"/>
      <c r="J42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42" s="75"/>
    </row>
    <row r="43" spans="1:11" ht="20.399999999999999" x14ac:dyDescent="0.35">
      <c r="A43" s="75" t="str" cm="1">
        <f t="array" ref="A43">IF(tblPayments[[#This Row],[رقم العملية]]="","","PAY-"&amp;TEXT(ROW()-ROW(tblPayments[#Headers]),"000000"))</f>
        <v/>
      </c>
      <c r="B43" s="116"/>
      <c r="C43" s="75"/>
      <c r="D43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43" s="75" t="str">
        <f>IF(tblPayments[[#This Row],[رقم العملية]]="","",_xlfn.XLOOKUP(tblPayments[[#This Row],[رقم العملية]],tblPurchaseRegister[رقم العملية],tblPurchaseRegister[المورد],""))</f>
        <v/>
      </c>
      <c r="F43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43" s="75"/>
      <c r="H43" s="75" t="str">
        <f>IF(tblPayments[[#This Row],[رقم العملية]]="","",MAX(0,tblPayments[[#This Row],[إجمالي الفاتورة]]-tblPayments[[#This Row],[المبلغ المدفوع]]))</f>
        <v/>
      </c>
      <c r="I43" s="75"/>
      <c r="J43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43" s="75"/>
    </row>
    <row r="44" spans="1:11" ht="20.399999999999999" x14ac:dyDescent="0.35">
      <c r="A44" s="75" t="str" cm="1">
        <f t="array" ref="A44">IF(tblPayments[[#This Row],[رقم العملية]]="","","PAY-"&amp;TEXT(ROW()-ROW(tblPayments[#Headers]),"000000"))</f>
        <v/>
      </c>
      <c r="B44" s="116"/>
      <c r="C44" s="75"/>
      <c r="D44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44" s="75" t="str">
        <f>IF(tblPayments[[#This Row],[رقم العملية]]="","",_xlfn.XLOOKUP(tblPayments[[#This Row],[رقم العملية]],tblPurchaseRegister[رقم العملية],tblPurchaseRegister[المورد],""))</f>
        <v/>
      </c>
      <c r="F44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44" s="75"/>
      <c r="H44" s="75" t="str">
        <f>IF(tblPayments[[#This Row],[رقم العملية]]="","",MAX(0,tblPayments[[#This Row],[إجمالي الفاتورة]]-tblPayments[[#This Row],[المبلغ المدفوع]]))</f>
        <v/>
      </c>
      <c r="I44" s="75"/>
      <c r="J44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44" s="75"/>
    </row>
    <row r="45" spans="1:11" ht="20.399999999999999" x14ac:dyDescent="0.35">
      <c r="A45" s="75" t="str" cm="1">
        <f t="array" ref="A45">IF(tblPayments[[#This Row],[رقم العملية]]="","","PAY-"&amp;TEXT(ROW()-ROW(tblPayments[#Headers]),"000000"))</f>
        <v/>
      </c>
      <c r="B45" s="116"/>
      <c r="C45" s="75"/>
      <c r="D45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45" s="75" t="str">
        <f>IF(tblPayments[[#This Row],[رقم العملية]]="","",_xlfn.XLOOKUP(tblPayments[[#This Row],[رقم العملية]],tblPurchaseRegister[رقم العملية],tblPurchaseRegister[المورد],""))</f>
        <v/>
      </c>
      <c r="F45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45" s="75"/>
      <c r="H45" s="75" t="str">
        <f>IF(tblPayments[[#This Row],[رقم العملية]]="","",MAX(0,tblPayments[[#This Row],[إجمالي الفاتورة]]-tblPayments[[#This Row],[المبلغ المدفوع]]))</f>
        <v/>
      </c>
      <c r="I45" s="75"/>
      <c r="J45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45" s="75"/>
    </row>
    <row r="46" spans="1:11" ht="20.399999999999999" x14ac:dyDescent="0.35">
      <c r="A46" s="75" t="str" cm="1">
        <f t="array" ref="A46">IF(tblPayments[[#This Row],[رقم العملية]]="","","PAY-"&amp;TEXT(ROW()-ROW(tblPayments[#Headers]),"000000"))</f>
        <v/>
      </c>
      <c r="B46" s="116"/>
      <c r="C46" s="75"/>
      <c r="D46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46" s="75" t="str">
        <f>IF(tblPayments[[#This Row],[رقم العملية]]="","",_xlfn.XLOOKUP(tblPayments[[#This Row],[رقم العملية]],tblPurchaseRegister[رقم العملية],tblPurchaseRegister[المورد],""))</f>
        <v/>
      </c>
      <c r="F46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46" s="75"/>
      <c r="H46" s="75" t="str">
        <f>IF(tblPayments[[#This Row],[رقم العملية]]="","",MAX(0,tblPayments[[#This Row],[إجمالي الفاتورة]]-tblPayments[[#This Row],[المبلغ المدفوع]]))</f>
        <v/>
      </c>
      <c r="I46" s="75"/>
      <c r="J46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46" s="75"/>
    </row>
    <row r="47" spans="1:11" ht="20.399999999999999" x14ac:dyDescent="0.35">
      <c r="A47" s="75" t="str" cm="1">
        <f t="array" ref="A47">IF(tblPayments[[#This Row],[رقم العملية]]="","","PAY-"&amp;TEXT(ROW()-ROW(tblPayments[#Headers]),"000000"))</f>
        <v/>
      </c>
      <c r="B47" s="116"/>
      <c r="C47" s="75"/>
      <c r="D47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47" s="75" t="str">
        <f>IF(tblPayments[[#This Row],[رقم العملية]]="","",_xlfn.XLOOKUP(tblPayments[[#This Row],[رقم العملية]],tblPurchaseRegister[رقم العملية],tblPurchaseRegister[المورد],""))</f>
        <v/>
      </c>
      <c r="F47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47" s="75"/>
      <c r="H47" s="75" t="str">
        <f>IF(tblPayments[[#This Row],[رقم العملية]]="","",MAX(0,tblPayments[[#This Row],[إجمالي الفاتورة]]-tblPayments[[#This Row],[المبلغ المدفوع]]))</f>
        <v/>
      </c>
      <c r="I47" s="75"/>
      <c r="J47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47" s="75"/>
    </row>
    <row r="48" spans="1:11" ht="20.399999999999999" x14ac:dyDescent="0.35">
      <c r="A48" s="75" t="str" cm="1">
        <f t="array" ref="A48">IF(tblPayments[[#This Row],[رقم العملية]]="","","PAY-"&amp;TEXT(ROW()-ROW(tblPayments[#Headers]),"000000"))</f>
        <v/>
      </c>
      <c r="B48" s="116"/>
      <c r="C48" s="75"/>
      <c r="D48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48" s="75" t="str">
        <f>IF(tblPayments[[#This Row],[رقم العملية]]="","",_xlfn.XLOOKUP(tblPayments[[#This Row],[رقم العملية]],tblPurchaseRegister[رقم العملية],tblPurchaseRegister[المورد],""))</f>
        <v/>
      </c>
      <c r="F48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48" s="75"/>
      <c r="H48" s="75" t="str">
        <f>IF(tblPayments[[#This Row],[رقم العملية]]="","",MAX(0,tblPayments[[#This Row],[إجمالي الفاتورة]]-tblPayments[[#This Row],[المبلغ المدفوع]]))</f>
        <v/>
      </c>
      <c r="I48" s="75"/>
      <c r="J48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48" s="75"/>
    </row>
    <row r="49" spans="1:11" ht="20.399999999999999" x14ac:dyDescent="0.35">
      <c r="A49" s="75" t="str" cm="1">
        <f t="array" ref="A49">IF(tblPayments[[#This Row],[رقم العملية]]="","","PAY-"&amp;TEXT(ROW()-ROW(tblPayments[#Headers]),"000000"))</f>
        <v/>
      </c>
      <c r="B49" s="116"/>
      <c r="C49" s="75"/>
      <c r="D49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49" s="75" t="str">
        <f>IF(tblPayments[[#This Row],[رقم العملية]]="","",_xlfn.XLOOKUP(tblPayments[[#This Row],[رقم العملية]],tblPurchaseRegister[رقم العملية],tblPurchaseRegister[المورد],""))</f>
        <v/>
      </c>
      <c r="F49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49" s="75"/>
      <c r="H49" s="75" t="str">
        <f>IF(tblPayments[[#This Row],[رقم العملية]]="","",MAX(0,tblPayments[[#This Row],[إجمالي الفاتورة]]-tblPayments[[#This Row],[المبلغ المدفوع]]))</f>
        <v/>
      </c>
      <c r="I49" s="75"/>
      <c r="J49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49" s="75"/>
    </row>
    <row r="50" spans="1:11" ht="20.399999999999999" x14ac:dyDescent="0.35">
      <c r="A50" s="75" t="str" cm="1">
        <f t="array" ref="A50">IF(tblPayments[[#This Row],[رقم العملية]]="","","PAY-"&amp;TEXT(ROW()-ROW(tblPayments[#Headers]),"000000"))</f>
        <v/>
      </c>
      <c r="B50" s="116"/>
      <c r="C50" s="75"/>
      <c r="D50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50" s="75" t="str">
        <f>IF(tblPayments[[#This Row],[رقم العملية]]="","",_xlfn.XLOOKUP(tblPayments[[#This Row],[رقم العملية]],tblPurchaseRegister[رقم العملية],tblPurchaseRegister[المورد],""))</f>
        <v/>
      </c>
      <c r="F50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50" s="75"/>
      <c r="H50" s="75" t="str">
        <f>IF(tblPayments[[#This Row],[رقم العملية]]="","",MAX(0,tblPayments[[#This Row],[إجمالي الفاتورة]]-tblPayments[[#This Row],[المبلغ المدفوع]]))</f>
        <v/>
      </c>
      <c r="I50" s="75"/>
      <c r="J50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50" s="75"/>
    </row>
    <row r="51" spans="1:11" ht="20.399999999999999" x14ac:dyDescent="0.35">
      <c r="A51" s="75" t="str" cm="1">
        <f t="array" ref="A51">IF(tblPayments[[#This Row],[رقم العملية]]="","","PAY-"&amp;TEXT(ROW()-ROW(tblPayments[#Headers]),"000000"))</f>
        <v/>
      </c>
      <c r="B51" s="116"/>
      <c r="C51" s="75"/>
      <c r="D51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51" s="75" t="str">
        <f>IF(tblPayments[[#This Row],[رقم العملية]]="","",_xlfn.XLOOKUP(tblPayments[[#This Row],[رقم العملية]],tblPurchaseRegister[رقم العملية],tblPurchaseRegister[المورد],""))</f>
        <v/>
      </c>
      <c r="F51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51" s="75"/>
      <c r="H51" s="75" t="str">
        <f>IF(tblPayments[[#This Row],[رقم العملية]]="","",MAX(0,tblPayments[[#This Row],[إجمالي الفاتورة]]-tblPayments[[#This Row],[المبلغ المدفوع]]))</f>
        <v/>
      </c>
      <c r="I51" s="75"/>
      <c r="J51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51" s="75"/>
    </row>
    <row r="52" spans="1:11" ht="20.399999999999999" x14ac:dyDescent="0.35">
      <c r="A52" s="75" t="str" cm="1">
        <f t="array" ref="A52">IF(tblPayments[[#This Row],[رقم العملية]]="","","PAY-"&amp;TEXT(ROW()-ROW(tblPayments[#Headers]),"000000"))</f>
        <v/>
      </c>
      <c r="B52" s="116"/>
      <c r="C52" s="75"/>
      <c r="D52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52" s="75" t="str">
        <f>IF(tblPayments[[#This Row],[رقم العملية]]="","",_xlfn.XLOOKUP(tblPayments[[#This Row],[رقم العملية]],tblPurchaseRegister[رقم العملية],tblPurchaseRegister[المورد],""))</f>
        <v/>
      </c>
      <c r="F52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52" s="75"/>
      <c r="H52" s="75" t="str">
        <f>IF(tblPayments[[#This Row],[رقم العملية]]="","",MAX(0,tblPayments[[#This Row],[إجمالي الفاتورة]]-tblPayments[[#This Row],[المبلغ المدفوع]]))</f>
        <v/>
      </c>
      <c r="I52" s="75"/>
      <c r="J52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52" s="75"/>
    </row>
    <row r="53" spans="1:11" ht="20.399999999999999" x14ac:dyDescent="0.35">
      <c r="A53" s="75" t="str" cm="1">
        <f t="array" ref="A53">IF(tblPayments[[#This Row],[رقم العملية]]="","","PAY-"&amp;TEXT(ROW()-ROW(tblPayments[#Headers]),"000000"))</f>
        <v/>
      </c>
      <c r="B53" s="116"/>
      <c r="C53" s="75"/>
      <c r="D53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53" s="75" t="str">
        <f>IF(tblPayments[[#This Row],[رقم العملية]]="","",_xlfn.XLOOKUP(tblPayments[[#This Row],[رقم العملية]],tblPurchaseRegister[رقم العملية],tblPurchaseRegister[المورد],""))</f>
        <v/>
      </c>
      <c r="F53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53" s="75"/>
      <c r="H53" s="75" t="str">
        <f>IF(tblPayments[[#This Row],[رقم العملية]]="","",MAX(0,tblPayments[[#This Row],[إجمالي الفاتورة]]-tblPayments[[#This Row],[المبلغ المدفوع]]))</f>
        <v/>
      </c>
      <c r="I53" s="75"/>
      <c r="J53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53" s="75"/>
    </row>
    <row r="54" spans="1:11" ht="20.399999999999999" x14ac:dyDescent="0.35">
      <c r="A54" s="75" t="str" cm="1">
        <f t="array" ref="A54">IF(tblPayments[[#This Row],[رقم العملية]]="","","PAY-"&amp;TEXT(ROW()-ROW(tblPayments[#Headers]),"000000"))</f>
        <v/>
      </c>
      <c r="B54" s="116"/>
      <c r="C54" s="75"/>
      <c r="D54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54" s="75" t="str">
        <f>IF(tblPayments[[#This Row],[رقم العملية]]="","",_xlfn.XLOOKUP(tblPayments[[#This Row],[رقم العملية]],tblPurchaseRegister[رقم العملية],tblPurchaseRegister[المورد],""))</f>
        <v/>
      </c>
      <c r="F54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54" s="75"/>
      <c r="H54" s="75" t="str">
        <f>IF(tblPayments[[#This Row],[رقم العملية]]="","",MAX(0,tblPayments[[#This Row],[إجمالي الفاتورة]]-tblPayments[[#This Row],[المبلغ المدفوع]]))</f>
        <v/>
      </c>
      <c r="I54" s="75"/>
      <c r="J54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54" s="75"/>
    </row>
    <row r="55" spans="1:11" ht="20.399999999999999" x14ac:dyDescent="0.35">
      <c r="A55" s="75" t="str" cm="1">
        <f t="array" ref="A55">IF(tblPayments[[#This Row],[رقم العملية]]="","","PAY-"&amp;TEXT(ROW()-ROW(tblPayments[#Headers]),"000000"))</f>
        <v/>
      </c>
      <c r="B55" s="116"/>
      <c r="C55" s="75"/>
      <c r="D55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55" s="75" t="str">
        <f>IF(tblPayments[[#This Row],[رقم العملية]]="","",_xlfn.XLOOKUP(tblPayments[[#This Row],[رقم العملية]],tblPurchaseRegister[رقم العملية],tblPurchaseRegister[المورد],""))</f>
        <v/>
      </c>
      <c r="F55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55" s="75"/>
      <c r="H55" s="75" t="str">
        <f>IF(tblPayments[[#This Row],[رقم العملية]]="","",MAX(0,tblPayments[[#This Row],[إجمالي الفاتورة]]-tblPayments[[#This Row],[المبلغ المدفوع]]))</f>
        <v/>
      </c>
      <c r="I55" s="75"/>
      <c r="J55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55" s="75"/>
    </row>
    <row r="56" spans="1:11" ht="20.399999999999999" x14ac:dyDescent="0.35">
      <c r="A56" s="75" t="str" cm="1">
        <f t="array" ref="A56">IF(tblPayments[[#This Row],[رقم العملية]]="","","PAY-"&amp;TEXT(ROW()-ROW(tblPayments[#Headers]),"000000"))</f>
        <v/>
      </c>
      <c r="B56" s="116"/>
      <c r="C56" s="75"/>
      <c r="D56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56" s="75" t="str">
        <f>IF(tblPayments[[#This Row],[رقم العملية]]="","",_xlfn.XLOOKUP(tblPayments[[#This Row],[رقم العملية]],tblPurchaseRegister[رقم العملية],tblPurchaseRegister[المورد],""))</f>
        <v/>
      </c>
      <c r="F56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56" s="75"/>
      <c r="H56" s="75" t="str">
        <f>IF(tblPayments[[#This Row],[رقم العملية]]="","",MAX(0,tblPayments[[#This Row],[إجمالي الفاتورة]]-tblPayments[[#This Row],[المبلغ المدفوع]]))</f>
        <v/>
      </c>
      <c r="I56" s="75"/>
      <c r="J56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56" s="75"/>
    </row>
    <row r="57" spans="1:11" ht="20.399999999999999" x14ac:dyDescent="0.35">
      <c r="A57" s="75" t="str" cm="1">
        <f t="array" ref="A57">IF(tblPayments[[#This Row],[رقم العملية]]="","","PAY-"&amp;TEXT(ROW()-ROW(tblPayments[#Headers]),"000000"))</f>
        <v/>
      </c>
      <c r="B57" s="116"/>
      <c r="C57" s="75"/>
      <c r="D57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57" s="75" t="str">
        <f>IF(tblPayments[[#This Row],[رقم العملية]]="","",_xlfn.XLOOKUP(tblPayments[[#This Row],[رقم العملية]],tblPurchaseRegister[رقم العملية],tblPurchaseRegister[المورد],""))</f>
        <v/>
      </c>
      <c r="F57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57" s="75"/>
      <c r="H57" s="75" t="str">
        <f>IF(tblPayments[[#This Row],[رقم العملية]]="","",MAX(0,tblPayments[[#This Row],[إجمالي الفاتورة]]-tblPayments[[#This Row],[المبلغ المدفوع]]))</f>
        <v/>
      </c>
      <c r="I57" s="75"/>
      <c r="J57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57" s="75"/>
    </row>
    <row r="58" spans="1:11" ht="20.399999999999999" x14ac:dyDescent="0.35">
      <c r="A58" s="75" t="str" cm="1">
        <f t="array" ref="A58">IF(tblPayments[[#This Row],[رقم العملية]]="","","PAY-"&amp;TEXT(ROW()-ROW(tblPayments[#Headers]),"000000"))</f>
        <v/>
      </c>
      <c r="B58" s="116"/>
      <c r="C58" s="75"/>
      <c r="D58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58" s="75" t="str">
        <f>IF(tblPayments[[#This Row],[رقم العملية]]="","",_xlfn.XLOOKUP(tblPayments[[#This Row],[رقم العملية]],tblPurchaseRegister[رقم العملية],tblPurchaseRegister[المورد],""))</f>
        <v/>
      </c>
      <c r="F58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58" s="75"/>
      <c r="H58" s="75" t="str">
        <f>IF(tblPayments[[#This Row],[رقم العملية]]="","",MAX(0,tblPayments[[#This Row],[إجمالي الفاتورة]]-tblPayments[[#This Row],[المبلغ المدفوع]]))</f>
        <v/>
      </c>
      <c r="I58" s="75"/>
      <c r="J58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58" s="75"/>
    </row>
    <row r="59" spans="1:11" ht="20.399999999999999" x14ac:dyDescent="0.35">
      <c r="A59" s="75" t="str" cm="1">
        <f t="array" ref="A59">IF(tblPayments[[#This Row],[رقم العملية]]="","","PAY-"&amp;TEXT(ROW()-ROW(tblPayments[#Headers]),"000000"))</f>
        <v/>
      </c>
      <c r="B59" s="116"/>
      <c r="C59" s="75"/>
      <c r="D59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59" s="75" t="str">
        <f>IF(tblPayments[[#This Row],[رقم العملية]]="","",_xlfn.XLOOKUP(tblPayments[[#This Row],[رقم العملية]],tblPurchaseRegister[رقم العملية],tblPurchaseRegister[المورد],""))</f>
        <v/>
      </c>
      <c r="F59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59" s="75"/>
      <c r="H59" s="75" t="str">
        <f>IF(tblPayments[[#This Row],[رقم العملية]]="","",MAX(0,tblPayments[[#This Row],[إجمالي الفاتورة]]-tblPayments[[#This Row],[المبلغ المدفوع]]))</f>
        <v/>
      </c>
      <c r="I59" s="75"/>
      <c r="J59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59" s="75"/>
    </row>
    <row r="60" spans="1:11" ht="20.399999999999999" x14ac:dyDescent="0.35">
      <c r="A60" s="75" t="str" cm="1">
        <f t="array" ref="A60">IF(tblPayments[[#This Row],[رقم العملية]]="","","PAY-"&amp;TEXT(ROW()-ROW(tblPayments[#Headers]),"000000"))</f>
        <v/>
      </c>
      <c r="B60" s="116"/>
      <c r="C60" s="75"/>
      <c r="D60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60" s="75" t="str">
        <f>IF(tblPayments[[#This Row],[رقم العملية]]="","",_xlfn.XLOOKUP(tblPayments[[#This Row],[رقم العملية]],tblPurchaseRegister[رقم العملية],tblPurchaseRegister[المورد],""))</f>
        <v/>
      </c>
      <c r="F60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60" s="75"/>
      <c r="H60" s="75" t="str">
        <f>IF(tblPayments[[#This Row],[رقم العملية]]="","",MAX(0,tblPayments[[#This Row],[إجمالي الفاتورة]]-tblPayments[[#This Row],[المبلغ المدفوع]]))</f>
        <v/>
      </c>
      <c r="I60" s="75"/>
      <c r="J60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60" s="75"/>
    </row>
    <row r="61" spans="1:11" ht="20.399999999999999" x14ac:dyDescent="0.35">
      <c r="A61" s="75" t="str" cm="1">
        <f t="array" ref="A61">IF(tblPayments[[#This Row],[رقم العملية]]="","","PAY-"&amp;TEXT(ROW()-ROW(tblPayments[#Headers]),"000000"))</f>
        <v/>
      </c>
      <c r="B61" s="116"/>
      <c r="C61" s="75"/>
      <c r="D61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61" s="75" t="str">
        <f>IF(tblPayments[[#This Row],[رقم العملية]]="","",_xlfn.XLOOKUP(tblPayments[[#This Row],[رقم العملية]],tblPurchaseRegister[رقم العملية],tblPurchaseRegister[المورد],""))</f>
        <v/>
      </c>
      <c r="F61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61" s="75"/>
      <c r="H61" s="75" t="str">
        <f>IF(tblPayments[[#This Row],[رقم العملية]]="","",MAX(0,tblPayments[[#This Row],[إجمالي الفاتورة]]-tblPayments[[#This Row],[المبلغ المدفوع]]))</f>
        <v/>
      </c>
      <c r="I61" s="75"/>
      <c r="J61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61" s="75"/>
    </row>
    <row r="62" spans="1:11" ht="20.399999999999999" x14ac:dyDescent="0.35">
      <c r="A62" s="75" t="str" cm="1">
        <f t="array" ref="A62">IF(tblPayments[[#This Row],[رقم العملية]]="","","PAY-"&amp;TEXT(ROW()-ROW(tblPayments[#Headers]),"000000"))</f>
        <v/>
      </c>
      <c r="B62" s="116"/>
      <c r="C62" s="75"/>
      <c r="D62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62" s="75" t="str">
        <f>IF(tblPayments[[#This Row],[رقم العملية]]="","",_xlfn.XLOOKUP(tblPayments[[#This Row],[رقم العملية]],tblPurchaseRegister[رقم العملية],tblPurchaseRegister[المورد],""))</f>
        <v/>
      </c>
      <c r="F62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62" s="75"/>
      <c r="H62" s="75" t="str">
        <f>IF(tblPayments[[#This Row],[رقم العملية]]="","",MAX(0,tblPayments[[#This Row],[إجمالي الفاتورة]]-tblPayments[[#This Row],[المبلغ المدفوع]]))</f>
        <v/>
      </c>
      <c r="I62" s="75"/>
      <c r="J62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62" s="75"/>
    </row>
    <row r="63" spans="1:11" ht="20.399999999999999" x14ac:dyDescent="0.35">
      <c r="A63" s="75" t="str" cm="1">
        <f t="array" ref="A63">IF(tblPayments[[#This Row],[رقم العملية]]="","","PAY-"&amp;TEXT(ROW()-ROW(tblPayments[#Headers]),"000000"))</f>
        <v/>
      </c>
      <c r="B63" s="116"/>
      <c r="C63" s="75"/>
      <c r="D63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63" s="75" t="str">
        <f>IF(tblPayments[[#This Row],[رقم العملية]]="","",_xlfn.XLOOKUP(tblPayments[[#This Row],[رقم العملية]],tblPurchaseRegister[رقم العملية],tblPurchaseRegister[المورد],""))</f>
        <v/>
      </c>
      <c r="F63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63" s="75"/>
      <c r="H63" s="75" t="str">
        <f>IF(tblPayments[[#This Row],[رقم العملية]]="","",MAX(0,tblPayments[[#This Row],[إجمالي الفاتورة]]-tblPayments[[#This Row],[المبلغ المدفوع]]))</f>
        <v/>
      </c>
      <c r="I63" s="75"/>
      <c r="J63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63" s="75"/>
    </row>
    <row r="64" spans="1:11" ht="20.399999999999999" x14ac:dyDescent="0.35">
      <c r="A64" s="75" t="str" cm="1">
        <f t="array" ref="A64">IF(tblPayments[[#This Row],[رقم العملية]]="","","PAY-"&amp;TEXT(ROW()-ROW(tblPayments[#Headers]),"000000"))</f>
        <v/>
      </c>
      <c r="B64" s="116"/>
      <c r="C64" s="75"/>
      <c r="D64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64" s="75" t="str">
        <f>IF(tblPayments[[#This Row],[رقم العملية]]="","",_xlfn.XLOOKUP(tblPayments[[#This Row],[رقم العملية]],tblPurchaseRegister[رقم العملية],tblPurchaseRegister[المورد],""))</f>
        <v/>
      </c>
      <c r="F64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64" s="75"/>
      <c r="H64" s="75" t="str">
        <f>IF(tblPayments[[#This Row],[رقم العملية]]="","",MAX(0,tblPayments[[#This Row],[إجمالي الفاتورة]]-tblPayments[[#This Row],[المبلغ المدفوع]]))</f>
        <v/>
      </c>
      <c r="I64" s="75"/>
      <c r="J64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64" s="75"/>
    </row>
    <row r="65" spans="1:11" ht="20.399999999999999" x14ac:dyDescent="0.35">
      <c r="A65" s="75" t="str" cm="1">
        <f t="array" ref="A65">IF(tblPayments[[#This Row],[رقم العملية]]="","","PAY-"&amp;TEXT(ROW()-ROW(tblPayments[#Headers]),"000000"))</f>
        <v/>
      </c>
      <c r="B65" s="116"/>
      <c r="C65" s="75"/>
      <c r="D65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65" s="75" t="str">
        <f>IF(tblPayments[[#This Row],[رقم العملية]]="","",_xlfn.XLOOKUP(tblPayments[[#This Row],[رقم العملية]],tblPurchaseRegister[رقم العملية],tblPurchaseRegister[المورد],""))</f>
        <v/>
      </c>
      <c r="F65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65" s="75"/>
      <c r="H65" s="75" t="str">
        <f>IF(tblPayments[[#This Row],[رقم العملية]]="","",MAX(0,tblPayments[[#This Row],[إجمالي الفاتورة]]-tblPayments[[#This Row],[المبلغ المدفوع]]))</f>
        <v/>
      </c>
      <c r="I65" s="75"/>
      <c r="J65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65" s="75"/>
    </row>
    <row r="66" spans="1:11" ht="20.399999999999999" x14ac:dyDescent="0.35">
      <c r="A66" s="75" t="str" cm="1">
        <f t="array" ref="A66">IF(tblPayments[[#This Row],[رقم العملية]]="","","PAY-"&amp;TEXT(ROW()-ROW(tblPayments[#Headers]),"000000"))</f>
        <v/>
      </c>
      <c r="B66" s="116"/>
      <c r="C66" s="75"/>
      <c r="D66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66" s="75" t="str">
        <f>IF(tblPayments[[#This Row],[رقم العملية]]="","",_xlfn.XLOOKUP(tblPayments[[#This Row],[رقم العملية]],tblPurchaseRegister[رقم العملية],tblPurchaseRegister[المورد],""))</f>
        <v/>
      </c>
      <c r="F66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66" s="75"/>
      <c r="H66" s="75" t="str">
        <f>IF(tblPayments[[#This Row],[رقم العملية]]="","",MAX(0,tblPayments[[#This Row],[إجمالي الفاتورة]]-tblPayments[[#This Row],[المبلغ المدفوع]]))</f>
        <v/>
      </c>
      <c r="I66" s="75"/>
      <c r="J66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66" s="75"/>
    </row>
    <row r="67" spans="1:11" ht="20.399999999999999" x14ac:dyDescent="0.35">
      <c r="A67" s="75" t="str" cm="1">
        <f t="array" ref="A67">IF(tblPayments[[#This Row],[رقم العملية]]="","","PAY-"&amp;TEXT(ROW()-ROW(tblPayments[#Headers]),"000000"))</f>
        <v/>
      </c>
      <c r="B67" s="116"/>
      <c r="C67" s="75"/>
      <c r="D67" s="75" t="str">
        <f>IF(tblPayments[[#This Row],[رقم العملية]]="","",_xlfn.XLOOKUP(tblPayments[[#This Row],[رقم العملية]],tblPurchaseRegister[رقم العملية],tblPurchaseRegister[رقم الفاتورة],""))</f>
        <v/>
      </c>
      <c r="E67" s="75" t="str">
        <f>IF(tblPayments[[#This Row],[رقم العملية]]="","",_xlfn.XLOOKUP(tblPayments[[#This Row],[رقم العملية]],tblPurchaseRegister[رقم العملية],tblPurchaseRegister[المورد],""))</f>
        <v/>
      </c>
      <c r="F67" s="75" t="str">
        <f>IF(tblPayments[[#This Row],[رقم العملية]]="","",_xlfn.XLOOKUP(tblPayments[[#This Row],[رقم العملية]],tblPurchaseRegister[رقم العملية],tblPurchaseRegister[إجمالي الفاتورة],0))</f>
        <v/>
      </c>
      <c r="G67" s="75"/>
      <c r="H67" s="75" t="str">
        <f>IF(tblPayments[[#This Row],[رقم العملية]]="","",MAX(0,tblPayments[[#This Row],[إجمالي الفاتورة]]-tblPayments[[#This Row],[المبلغ المدفوع]]))</f>
        <v/>
      </c>
      <c r="I67" s="75"/>
      <c r="J67" s="75" t="str">
        <f>IF(tblPayments[[#This Row],[رقم العملية]]="","",IF(tblPayments[[#This Row],[المبلغ المدفوع]]&lt;=0,"غير مدفوع",IF(tblPayments[[#This Row],[المبلغ المدفوع]]&lt;tblPayments[[#This Row],[إجمالي الفاتورة]],"مدفوع جزئي","مدفوع")))</f>
        <v/>
      </c>
      <c r="K67" s="75"/>
    </row>
  </sheetData>
  <phoneticPr fontId="10" type="noConversion"/>
  <conditionalFormatting sqref="G2:G67">
    <cfRule type="expression" dxfId="60" priority="1">
      <formula>AND($C2&lt;&gt;"",$G2&gt;$F2)</formula>
    </cfRule>
  </conditionalFormatting>
  <dataValidations count="2">
    <dataValidation type="list" allowBlank="1" showInputMessage="1" showErrorMessage="1" sqref="C2:C67" xr:uid="{04C93739-D256-4D1E-BF7F-9D93ED59357F}">
      <formula1>PurchaseIDs</formula1>
    </dataValidation>
    <dataValidation type="list" allowBlank="1" showInputMessage="1" showErrorMessage="1" sqref="I2" xr:uid="{C26316E2-8DED-4FA1-8E7C-B1C0CE97E8AD}">
      <formula1>lst_PaymentMethod</formula1>
    </dataValidation>
  </dataValidations>
  <pageMargins left="0.7" right="0.7" top="0.75" bottom="0.75" header="0.3" footer="0.3"/>
  <pageSetup scale="46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3" tint="0.499984740745262"/>
  </sheetPr>
  <dimension ref="A1:T61"/>
  <sheetViews>
    <sheetView rightToLeft="1" tabSelected="1" view="pageBreakPreview" zoomScale="55" zoomScaleNormal="49" zoomScaleSheetLayoutView="55" workbookViewId="0">
      <pane ySplit="2" topLeftCell="A3" activePane="bottomLeft" state="frozen"/>
      <selection pane="bottomLeft" activeCell="B18" sqref="B18"/>
    </sheetView>
  </sheetViews>
  <sheetFormatPr defaultColWidth="20.69921875" defaultRowHeight="34.799999999999997" customHeight="1" x14ac:dyDescent="0.25"/>
  <cols>
    <col min="1" max="7" width="20.69921875" style="87"/>
    <col min="8" max="8" width="27.8984375" style="88" customWidth="1"/>
    <col min="9" max="9" width="20.69921875" style="88"/>
    <col min="10" max="16384" width="20.69921875" style="87"/>
  </cols>
  <sheetData>
    <row r="1" spans="1:20" ht="34.799999999999997" customHeight="1" thickTop="1" thickBot="1" x14ac:dyDescent="0.3">
      <c r="A1" s="128" t="s">
        <v>39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86"/>
      <c r="Q1" s="86"/>
      <c r="R1" s="86"/>
      <c r="S1" s="86"/>
      <c r="T1" s="86"/>
    </row>
    <row r="2" spans="1:20" s="108" customFormat="1" ht="34.799999999999997" customHeight="1" thickTop="1" thickBot="1" x14ac:dyDescent="0.3">
      <c r="A2" s="105" t="s">
        <v>13</v>
      </c>
      <c r="B2" s="105" t="s">
        <v>93</v>
      </c>
      <c r="C2" s="105" t="s">
        <v>40</v>
      </c>
      <c r="D2" s="105" t="s">
        <v>28</v>
      </c>
      <c r="E2" s="105" t="s">
        <v>27</v>
      </c>
      <c r="F2" s="105" t="s">
        <v>41</v>
      </c>
      <c r="G2" s="105" t="s">
        <v>14</v>
      </c>
      <c r="H2" s="106" t="s">
        <v>15</v>
      </c>
      <c r="I2" s="106" t="s">
        <v>42</v>
      </c>
      <c r="J2" s="105" t="s">
        <v>16</v>
      </c>
      <c r="K2" s="105" t="s">
        <v>17</v>
      </c>
      <c r="L2" s="105" t="s">
        <v>43</v>
      </c>
      <c r="M2" s="105" t="s">
        <v>18</v>
      </c>
      <c r="N2" s="105" t="s">
        <v>44</v>
      </c>
      <c r="O2" s="105" t="s">
        <v>45</v>
      </c>
      <c r="P2" s="107"/>
      <c r="Q2" s="107"/>
      <c r="R2" s="107"/>
      <c r="S2" s="107"/>
      <c r="T2" s="107"/>
    </row>
    <row r="3" spans="1:20" s="104" customFormat="1" ht="34.799999999999997" customHeight="1" thickTop="1" thickBot="1" x14ac:dyDescent="0.3">
      <c r="A3" s="99" t="s">
        <v>185</v>
      </c>
      <c r="B3" s="99"/>
      <c r="C3" s="99"/>
      <c r="D3" s="99"/>
      <c r="E3" s="99"/>
      <c r="F3" s="99"/>
      <c r="G3" s="99"/>
      <c r="H3" s="100"/>
      <c r="I3" s="100"/>
      <c r="J3" s="101"/>
      <c r="K3" s="99"/>
      <c r="L3" s="102"/>
      <c r="M3" s="102"/>
      <c r="N3" s="99"/>
      <c r="O3" s="99"/>
      <c r="P3" s="103"/>
      <c r="Q3" s="103"/>
      <c r="R3" s="103"/>
      <c r="S3" s="103"/>
      <c r="T3" s="103"/>
    </row>
    <row r="4" spans="1:20" ht="34.799999999999997" customHeight="1" thickTop="1" thickBot="1" x14ac:dyDescent="0.3">
      <c r="A4" s="89">
        <v>1</v>
      </c>
      <c r="B4" s="89" t="s">
        <v>189</v>
      </c>
      <c r="C4" s="89" t="s">
        <v>190</v>
      </c>
      <c r="D4" s="89" t="s">
        <v>158</v>
      </c>
      <c r="E4" s="89" t="s">
        <v>162</v>
      </c>
      <c r="F4" s="89" t="s">
        <v>191</v>
      </c>
      <c r="G4" s="89" t="s">
        <v>192</v>
      </c>
      <c r="H4" s="90" t="s">
        <v>193</v>
      </c>
      <c r="I4" s="90" t="s">
        <v>193</v>
      </c>
      <c r="J4" s="110" t="s">
        <v>194</v>
      </c>
      <c r="K4" s="89" t="s">
        <v>180</v>
      </c>
      <c r="L4" s="89"/>
      <c r="M4" s="89"/>
      <c r="N4" s="89" t="s">
        <v>75</v>
      </c>
      <c r="O4" s="89"/>
      <c r="P4" s="86"/>
      <c r="Q4" s="86"/>
      <c r="R4" s="86"/>
      <c r="S4" s="86"/>
      <c r="T4" s="86"/>
    </row>
    <row r="5" spans="1:20" ht="34.799999999999997" customHeight="1" thickTop="1" thickBot="1" x14ac:dyDescent="0.3">
      <c r="A5" s="89">
        <v>2</v>
      </c>
      <c r="B5" s="89" t="s">
        <v>195</v>
      </c>
      <c r="C5" s="89" t="s">
        <v>190</v>
      </c>
      <c r="D5" s="89" t="s">
        <v>158</v>
      </c>
      <c r="E5" s="89" t="s">
        <v>162</v>
      </c>
      <c r="F5" s="89"/>
      <c r="G5" s="89" t="s">
        <v>192</v>
      </c>
      <c r="H5" s="90" t="s">
        <v>196</v>
      </c>
      <c r="I5" s="90" t="s">
        <v>196</v>
      </c>
      <c r="J5" s="110" t="s">
        <v>194</v>
      </c>
      <c r="K5" s="89" t="s">
        <v>180</v>
      </c>
      <c r="L5" s="89"/>
      <c r="M5" s="89"/>
      <c r="N5" s="89" t="s">
        <v>75</v>
      </c>
      <c r="O5" s="89"/>
      <c r="P5" s="86"/>
      <c r="Q5" s="86"/>
      <c r="R5" s="86"/>
      <c r="S5" s="86"/>
      <c r="T5" s="86"/>
    </row>
    <row r="6" spans="1:20" ht="34.799999999999997" customHeight="1" thickTop="1" thickBot="1" x14ac:dyDescent="0.3">
      <c r="A6" s="89">
        <v>3</v>
      </c>
      <c r="B6" s="89" t="s">
        <v>197</v>
      </c>
      <c r="C6" s="89" t="s">
        <v>198</v>
      </c>
      <c r="D6" s="89" t="s">
        <v>159</v>
      </c>
      <c r="E6" s="89" t="s">
        <v>199</v>
      </c>
      <c r="F6" s="89" t="s">
        <v>199</v>
      </c>
      <c r="G6" s="89" t="s">
        <v>192</v>
      </c>
      <c r="H6" s="90" t="s">
        <v>200</v>
      </c>
      <c r="I6" s="90" t="s">
        <v>200</v>
      </c>
      <c r="J6" s="110" t="s">
        <v>194</v>
      </c>
      <c r="K6" s="89" t="s">
        <v>180</v>
      </c>
      <c r="L6" s="89"/>
      <c r="M6" s="89"/>
      <c r="N6" s="89" t="s">
        <v>75</v>
      </c>
      <c r="O6" s="89"/>
      <c r="P6" s="86"/>
      <c r="Q6" s="86"/>
      <c r="R6" s="86"/>
      <c r="S6" s="86"/>
      <c r="T6" s="86"/>
    </row>
    <row r="7" spans="1:20" ht="34.799999999999997" customHeight="1" thickTop="1" thickBot="1" x14ac:dyDescent="0.3">
      <c r="A7" s="89">
        <v>4</v>
      </c>
      <c r="B7" s="89" t="s">
        <v>201</v>
      </c>
      <c r="C7" s="89" t="s">
        <v>198</v>
      </c>
      <c r="D7" s="89" t="s">
        <v>159</v>
      </c>
      <c r="E7" s="89" t="s">
        <v>202</v>
      </c>
      <c r="F7" s="89" t="s">
        <v>203</v>
      </c>
      <c r="G7" s="89" t="s">
        <v>192</v>
      </c>
      <c r="H7" s="90" t="s">
        <v>204</v>
      </c>
      <c r="I7" s="90" t="s">
        <v>204</v>
      </c>
      <c r="J7" s="110" t="s">
        <v>194</v>
      </c>
      <c r="K7" s="89" t="s">
        <v>180</v>
      </c>
      <c r="L7" s="89"/>
      <c r="M7" s="89"/>
      <c r="N7" s="89" t="s">
        <v>75</v>
      </c>
      <c r="O7" s="89"/>
      <c r="P7" s="86"/>
      <c r="Q7" s="86"/>
      <c r="R7" s="86"/>
      <c r="S7" s="86"/>
      <c r="T7" s="86"/>
    </row>
    <row r="8" spans="1:20" ht="34.799999999999997" customHeight="1" thickTop="1" thickBot="1" x14ac:dyDescent="0.3">
      <c r="A8" s="89">
        <v>5</v>
      </c>
      <c r="B8" s="89" t="s">
        <v>205</v>
      </c>
      <c r="C8" s="89" t="s">
        <v>198</v>
      </c>
      <c r="D8" s="89" t="s">
        <v>159</v>
      </c>
      <c r="E8" s="89" t="s">
        <v>199</v>
      </c>
      <c r="F8" s="89" t="s">
        <v>199</v>
      </c>
      <c r="G8" s="89" t="s">
        <v>192</v>
      </c>
      <c r="H8" s="90" t="s">
        <v>206</v>
      </c>
      <c r="I8" s="90" t="s">
        <v>206</v>
      </c>
      <c r="J8" s="110" t="s">
        <v>194</v>
      </c>
      <c r="K8" s="89" t="s">
        <v>180</v>
      </c>
      <c r="L8" s="89"/>
      <c r="M8" s="89"/>
      <c r="N8" s="89" t="s">
        <v>75</v>
      </c>
      <c r="O8" s="89"/>
      <c r="P8" s="86"/>
      <c r="Q8" s="86"/>
      <c r="R8" s="86"/>
      <c r="S8" s="86"/>
      <c r="T8" s="86"/>
    </row>
    <row r="9" spans="1:20" s="98" customFormat="1" ht="34.799999999999997" customHeight="1" thickTop="1" thickBot="1" x14ac:dyDescent="0.3">
      <c r="A9" s="93" t="s">
        <v>186</v>
      </c>
      <c r="B9" s="93"/>
      <c r="C9" s="93"/>
      <c r="D9" s="93"/>
      <c r="E9" s="93"/>
      <c r="F9" s="93"/>
      <c r="G9" s="93"/>
      <c r="H9" s="94"/>
      <c r="I9" s="94"/>
      <c r="J9" s="95"/>
      <c r="K9" s="93"/>
      <c r="L9" s="96"/>
      <c r="M9" s="96"/>
      <c r="N9" s="93"/>
      <c r="O9" s="93"/>
      <c r="P9" s="97"/>
      <c r="Q9" s="97"/>
      <c r="R9" s="97"/>
      <c r="S9" s="97"/>
      <c r="T9" s="97"/>
    </row>
    <row r="10" spans="1:20" ht="34.799999999999997" customHeight="1" thickTop="1" thickBot="1" x14ac:dyDescent="0.3">
      <c r="A10" s="89">
        <v>1</v>
      </c>
      <c r="B10" s="89" t="s">
        <v>207</v>
      </c>
      <c r="C10" s="89" t="s">
        <v>208</v>
      </c>
      <c r="D10" s="89" t="s">
        <v>159</v>
      </c>
      <c r="E10" s="89" t="s">
        <v>162</v>
      </c>
      <c r="F10" s="89" t="s">
        <v>191</v>
      </c>
      <c r="G10" s="89" t="s">
        <v>192</v>
      </c>
      <c r="H10" s="90" t="s">
        <v>209</v>
      </c>
      <c r="I10" s="90" t="s">
        <v>209</v>
      </c>
      <c r="J10" s="110" t="s">
        <v>194</v>
      </c>
      <c r="K10" s="89" t="s">
        <v>180</v>
      </c>
      <c r="L10" s="89"/>
      <c r="M10" s="89"/>
      <c r="N10" s="89" t="s">
        <v>75</v>
      </c>
      <c r="O10" s="89"/>
      <c r="P10" s="86"/>
      <c r="Q10" s="86"/>
      <c r="R10" s="86"/>
      <c r="S10" s="86"/>
      <c r="T10" s="86"/>
    </row>
    <row r="11" spans="1:20" ht="34.799999999999997" customHeight="1" thickTop="1" thickBot="1" x14ac:dyDescent="0.3">
      <c r="A11" s="89">
        <v>2</v>
      </c>
      <c r="B11" s="89" t="s">
        <v>238</v>
      </c>
      <c r="C11" s="89" t="s">
        <v>239</v>
      </c>
      <c r="D11" s="89" t="s">
        <v>159</v>
      </c>
      <c r="E11" s="89" t="s">
        <v>240</v>
      </c>
      <c r="F11" s="89" t="s">
        <v>241</v>
      </c>
      <c r="G11" s="89" t="s">
        <v>192</v>
      </c>
      <c r="H11" s="90" t="s">
        <v>242</v>
      </c>
      <c r="I11" s="90" t="s">
        <v>242</v>
      </c>
      <c r="J11" s="110" t="s">
        <v>194</v>
      </c>
      <c r="K11" s="89" t="s">
        <v>180</v>
      </c>
      <c r="L11" s="89"/>
      <c r="M11" s="89"/>
      <c r="N11" s="89" t="s">
        <v>75</v>
      </c>
      <c r="O11" s="89"/>
      <c r="P11" s="86"/>
      <c r="Q11" s="86"/>
      <c r="R11" s="86"/>
      <c r="S11" s="86"/>
      <c r="T11" s="86"/>
    </row>
    <row r="12" spans="1:20" ht="34.799999999999997" customHeight="1" thickTop="1" thickBot="1" x14ac:dyDescent="0.3">
      <c r="A12" s="89">
        <v>3</v>
      </c>
      <c r="B12" s="89" t="s">
        <v>243</v>
      </c>
      <c r="C12" s="89" t="s">
        <v>239</v>
      </c>
      <c r="D12" s="89" t="s">
        <v>158</v>
      </c>
      <c r="E12" s="89" t="s">
        <v>244</v>
      </c>
      <c r="F12" s="89" t="s">
        <v>244</v>
      </c>
      <c r="G12" s="89" t="s">
        <v>192</v>
      </c>
      <c r="H12" s="90" t="s">
        <v>245</v>
      </c>
      <c r="I12" s="90" t="s">
        <v>245</v>
      </c>
      <c r="J12" s="110" t="s">
        <v>194</v>
      </c>
      <c r="K12" s="89" t="s">
        <v>180</v>
      </c>
      <c r="L12" s="89"/>
      <c r="M12" s="89"/>
      <c r="N12" s="89" t="s">
        <v>75</v>
      </c>
      <c r="O12" s="89"/>
      <c r="P12" s="86"/>
      <c r="Q12" s="86"/>
      <c r="R12" s="86"/>
      <c r="S12" s="86"/>
      <c r="T12" s="86"/>
    </row>
    <row r="13" spans="1:20" ht="34.799999999999997" customHeight="1" thickTop="1" thickBot="1" x14ac:dyDescent="0.3">
      <c r="A13" s="89">
        <v>4</v>
      </c>
      <c r="B13" s="89"/>
      <c r="C13" s="89"/>
      <c r="D13" s="89"/>
      <c r="E13" s="89"/>
      <c r="F13" s="89"/>
      <c r="G13" s="89"/>
      <c r="H13" s="90"/>
      <c r="I13" s="90"/>
      <c r="J13" s="89"/>
      <c r="K13" s="89"/>
      <c r="L13" s="89"/>
      <c r="M13" s="89"/>
      <c r="N13" s="89"/>
      <c r="O13" s="89"/>
      <c r="P13" s="86"/>
      <c r="Q13" s="86"/>
      <c r="R13" s="86"/>
      <c r="S13" s="86"/>
      <c r="T13" s="86"/>
    </row>
    <row r="14" spans="1:20" ht="34.799999999999997" customHeight="1" thickTop="1" thickBot="1" x14ac:dyDescent="0.3">
      <c r="A14" s="89">
        <v>5</v>
      </c>
      <c r="B14" s="89"/>
      <c r="C14" s="89"/>
      <c r="D14" s="89"/>
      <c r="E14" s="89"/>
      <c r="F14" s="89"/>
      <c r="G14" s="89"/>
      <c r="H14" s="90"/>
      <c r="I14" s="90"/>
      <c r="J14" s="89"/>
      <c r="K14" s="89"/>
      <c r="L14" s="89"/>
      <c r="M14" s="89"/>
      <c r="N14" s="89"/>
      <c r="O14" s="89"/>
      <c r="P14" s="86"/>
      <c r="Q14" s="86"/>
      <c r="R14" s="86"/>
      <c r="S14" s="86"/>
      <c r="T14" s="86"/>
    </row>
    <row r="15" spans="1:20" s="98" customFormat="1" ht="34.799999999999997" customHeight="1" thickTop="1" thickBot="1" x14ac:dyDescent="0.3">
      <c r="A15" s="93" t="s">
        <v>187</v>
      </c>
      <c r="B15" s="93"/>
      <c r="C15" s="93"/>
      <c r="D15" s="93"/>
      <c r="E15" s="93"/>
      <c r="F15" s="93"/>
      <c r="G15" s="93"/>
      <c r="H15" s="94"/>
      <c r="I15" s="94"/>
      <c r="J15" s="95"/>
      <c r="K15" s="93"/>
      <c r="L15" s="96"/>
      <c r="M15" s="96"/>
      <c r="N15" s="93"/>
      <c r="O15" s="93"/>
      <c r="P15" s="97"/>
      <c r="Q15" s="97"/>
      <c r="R15" s="97"/>
      <c r="S15" s="97"/>
      <c r="T15" s="97"/>
    </row>
    <row r="16" spans="1:20" ht="34.799999999999997" customHeight="1" thickTop="1" thickBot="1" x14ac:dyDescent="0.3">
      <c r="A16" s="91">
        <v>1</v>
      </c>
      <c r="B16" s="91" t="s">
        <v>246</v>
      </c>
      <c r="C16" s="91" t="s">
        <v>247</v>
      </c>
      <c r="D16" s="91" t="s">
        <v>158</v>
      </c>
      <c r="E16" s="91" t="s">
        <v>240</v>
      </c>
      <c r="F16" s="91" t="s">
        <v>248</v>
      </c>
      <c r="G16" s="91" t="s">
        <v>192</v>
      </c>
      <c r="H16" s="92" t="s">
        <v>249</v>
      </c>
      <c r="I16" s="92" t="s">
        <v>249</v>
      </c>
      <c r="J16" s="110" t="s">
        <v>194</v>
      </c>
      <c r="K16" s="89" t="s">
        <v>180</v>
      </c>
      <c r="L16" s="91"/>
      <c r="M16" s="91"/>
      <c r="N16" s="89" t="s">
        <v>75</v>
      </c>
      <c r="O16" s="91"/>
    </row>
    <row r="17" spans="1:20" ht="34.799999999999997" customHeight="1" thickTop="1" thickBot="1" x14ac:dyDescent="0.3">
      <c r="A17" s="91">
        <v>2</v>
      </c>
      <c r="B17" s="91" t="s">
        <v>250</v>
      </c>
      <c r="C17" s="91" t="s">
        <v>247</v>
      </c>
      <c r="D17" s="91" t="s">
        <v>158</v>
      </c>
      <c r="E17" s="91" t="s">
        <v>162</v>
      </c>
      <c r="F17" s="91" t="s">
        <v>251</v>
      </c>
      <c r="G17" s="91" t="s">
        <v>192</v>
      </c>
      <c r="H17" s="92" t="s">
        <v>252</v>
      </c>
      <c r="I17" s="92" t="s">
        <v>252</v>
      </c>
      <c r="J17" s="110" t="s">
        <v>194</v>
      </c>
      <c r="K17" s="89" t="s">
        <v>180</v>
      </c>
      <c r="L17" s="91"/>
      <c r="M17" s="91"/>
      <c r="N17" s="89" t="s">
        <v>75</v>
      </c>
      <c r="O17" s="91"/>
    </row>
    <row r="18" spans="1:20" ht="34.799999999999997" customHeight="1" thickTop="1" thickBot="1" x14ac:dyDescent="0.3">
      <c r="A18" s="91">
        <v>3</v>
      </c>
      <c r="B18" s="91"/>
      <c r="C18" s="91"/>
      <c r="D18" s="91"/>
      <c r="E18" s="91"/>
      <c r="F18" s="91"/>
      <c r="G18" s="91"/>
      <c r="H18" s="92"/>
      <c r="I18" s="92"/>
      <c r="J18" s="91"/>
      <c r="K18" s="91"/>
      <c r="L18" s="91"/>
      <c r="M18" s="91"/>
      <c r="N18" s="91"/>
      <c r="O18" s="91"/>
    </row>
    <row r="19" spans="1:20" ht="34.799999999999997" customHeight="1" thickTop="1" thickBot="1" x14ac:dyDescent="0.3">
      <c r="A19" s="91">
        <v>4</v>
      </c>
      <c r="B19" s="91"/>
      <c r="C19" s="91"/>
      <c r="D19" s="91"/>
      <c r="E19" s="91"/>
      <c r="F19" s="91"/>
      <c r="G19" s="91"/>
      <c r="H19" s="92"/>
      <c r="I19" s="92"/>
      <c r="J19" s="91"/>
      <c r="K19" s="91"/>
      <c r="L19" s="91"/>
      <c r="M19" s="91"/>
      <c r="N19" s="91"/>
      <c r="O19" s="91"/>
    </row>
    <row r="20" spans="1:20" ht="34.799999999999997" customHeight="1" thickTop="1" thickBot="1" x14ac:dyDescent="0.3">
      <c r="A20" s="91">
        <v>5</v>
      </c>
      <c r="B20" s="91"/>
      <c r="C20" s="91"/>
      <c r="D20" s="91"/>
      <c r="E20" s="91"/>
      <c r="F20" s="91"/>
      <c r="G20" s="91"/>
      <c r="H20" s="92"/>
      <c r="I20" s="92"/>
      <c r="J20" s="91"/>
      <c r="K20" s="91"/>
      <c r="L20" s="91"/>
      <c r="M20" s="91"/>
      <c r="N20" s="91"/>
      <c r="O20" s="91"/>
    </row>
    <row r="21" spans="1:20" s="98" customFormat="1" ht="34.799999999999997" customHeight="1" thickTop="1" thickBot="1" x14ac:dyDescent="0.3">
      <c r="A21" s="93" t="s">
        <v>188</v>
      </c>
      <c r="B21" s="93"/>
      <c r="C21" s="93"/>
      <c r="D21" s="93"/>
      <c r="E21" s="93"/>
      <c r="F21" s="93"/>
      <c r="G21" s="93"/>
      <c r="H21" s="94"/>
      <c r="I21" s="94"/>
      <c r="J21" s="95"/>
      <c r="K21" s="93"/>
      <c r="L21" s="96"/>
      <c r="M21" s="96"/>
      <c r="N21" s="93"/>
      <c r="O21" s="93"/>
      <c r="P21" s="97"/>
      <c r="Q21" s="97"/>
      <c r="R21" s="97"/>
      <c r="S21" s="97"/>
      <c r="T21" s="97"/>
    </row>
    <row r="22" spans="1:20" ht="34.799999999999997" customHeight="1" thickTop="1" thickBot="1" x14ac:dyDescent="0.3">
      <c r="A22" s="91">
        <v>1</v>
      </c>
      <c r="B22" s="91" t="s">
        <v>210</v>
      </c>
      <c r="C22" s="91" t="s">
        <v>211</v>
      </c>
      <c r="D22" s="91" t="s">
        <v>212</v>
      </c>
      <c r="E22" s="91" t="s">
        <v>213</v>
      </c>
      <c r="F22" s="91" t="s">
        <v>214</v>
      </c>
      <c r="G22" s="91" t="s">
        <v>192</v>
      </c>
      <c r="H22" s="92" t="s">
        <v>215</v>
      </c>
      <c r="I22" s="92" t="s">
        <v>215</v>
      </c>
      <c r="J22" s="110" t="s">
        <v>194</v>
      </c>
      <c r="K22" s="91" t="s">
        <v>180</v>
      </c>
      <c r="L22" s="91"/>
      <c r="M22" s="91"/>
      <c r="N22" s="91" t="s">
        <v>75</v>
      </c>
      <c r="O22" s="91"/>
    </row>
    <row r="23" spans="1:20" ht="34.799999999999997" customHeight="1" thickTop="1" thickBot="1" x14ac:dyDescent="0.3">
      <c r="A23" s="91">
        <v>2</v>
      </c>
      <c r="B23" s="91" t="s">
        <v>216</v>
      </c>
      <c r="C23" s="91" t="s">
        <v>217</v>
      </c>
      <c r="D23" s="91" t="s">
        <v>159</v>
      </c>
      <c r="E23" s="91" t="s">
        <v>218</v>
      </c>
      <c r="F23" s="91" t="s">
        <v>225</v>
      </c>
      <c r="G23" s="91" t="s">
        <v>192</v>
      </c>
      <c r="H23" s="92" t="s">
        <v>219</v>
      </c>
      <c r="I23" s="92" t="s">
        <v>219</v>
      </c>
      <c r="J23" s="110" t="s">
        <v>194</v>
      </c>
      <c r="K23" s="91" t="s">
        <v>180</v>
      </c>
      <c r="L23" s="91"/>
      <c r="M23" s="91"/>
      <c r="N23" s="91" t="s">
        <v>75</v>
      </c>
      <c r="O23" s="91"/>
    </row>
    <row r="24" spans="1:20" ht="34.799999999999997" customHeight="1" thickTop="1" thickBot="1" x14ac:dyDescent="0.3">
      <c r="A24" s="91">
        <v>3</v>
      </c>
      <c r="B24" s="91"/>
      <c r="C24" s="91"/>
      <c r="D24" s="91"/>
      <c r="E24" s="91"/>
      <c r="F24" s="91"/>
      <c r="G24" s="91"/>
      <c r="H24" s="92"/>
      <c r="I24" s="92"/>
      <c r="J24" s="91"/>
      <c r="K24" s="91"/>
      <c r="L24" s="91"/>
      <c r="M24" s="91"/>
      <c r="N24" s="91"/>
      <c r="O24" s="91"/>
    </row>
    <row r="25" spans="1:20" ht="34.799999999999997" customHeight="1" thickTop="1" thickBot="1" x14ac:dyDescent="0.3">
      <c r="A25" s="91">
        <v>4</v>
      </c>
      <c r="B25" s="91"/>
      <c r="C25" s="91"/>
      <c r="D25" s="91"/>
      <c r="E25" s="91"/>
      <c r="F25" s="91"/>
      <c r="G25" s="91"/>
      <c r="H25" s="92"/>
      <c r="I25" s="92"/>
      <c r="J25" s="91"/>
      <c r="K25" s="91"/>
      <c r="L25" s="91"/>
      <c r="M25" s="91"/>
      <c r="N25" s="91"/>
      <c r="O25" s="91"/>
    </row>
    <row r="26" spans="1:20" ht="34.799999999999997" customHeight="1" thickTop="1" thickBot="1" x14ac:dyDescent="0.3">
      <c r="A26" s="91">
        <v>5</v>
      </c>
      <c r="B26" s="91"/>
      <c r="C26" s="91"/>
      <c r="D26" s="91"/>
      <c r="E26" s="91"/>
      <c r="F26" s="91"/>
      <c r="G26" s="91"/>
      <c r="H26" s="92"/>
      <c r="I26" s="92"/>
      <c r="J26" s="91"/>
      <c r="K26" s="91"/>
      <c r="L26" s="91"/>
      <c r="M26" s="91"/>
      <c r="N26" s="91"/>
      <c r="O26" s="91"/>
    </row>
    <row r="27" spans="1:20" s="109" customFormat="1" ht="34.799999999999997" customHeight="1" thickTop="1" thickBot="1" x14ac:dyDescent="0.3">
      <c r="A27" s="109" t="s">
        <v>171</v>
      </c>
      <c r="B27" s="109" t="s">
        <v>318</v>
      </c>
      <c r="C27" s="109" t="s">
        <v>319</v>
      </c>
      <c r="D27" s="109" t="s">
        <v>221</v>
      </c>
      <c r="E27" s="109" t="s">
        <v>299</v>
      </c>
      <c r="F27" s="109" t="s">
        <v>300</v>
      </c>
      <c r="G27" s="109">
        <v>29947.5</v>
      </c>
      <c r="H27" s="109" t="s">
        <v>320</v>
      </c>
      <c r="I27" s="109" t="s">
        <v>320</v>
      </c>
      <c r="J27" s="109" t="s">
        <v>320</v>
      </c>
    </row>
    <row r="28" spans="1:20" ht="34.799999999999997" customHeight="1" thickTop="1" thickBot="1" x14ac:dyDescent="0.3">
      <c r="A28" s="91">
        <v>1</v>
      </c>
      <c r="B28" s="91"/>
      <c r="C28" s="91"/>
      <c r="D28" s="91"/>
      <c r="E28" s="91"/>
      <c r="F28" s="91"/>
      <c r="G28" s="91"/>
      <c r="H28" s="92"/>
      <c r="I28" s="92"/>
      <c r="J28" s="91"/>
      <c r="K28" s="91"/>
      <c r="L28" s="91"/>
      <c r="M28" s="91"/>
      <c r="N28" s="91"/>
      <c r="O28" s="91"/>
    </row>
    <row r="29" spans="1:20" ht="34.799999999999997" customHeight="1" thickTop="1" thickBot="1" x14ac:dyDescent="0.3">
      <c r="A29" s="91">
        <v>2</v>
      </c>
      <c r="B29" s="91"/>
      <c r="C29" s="91"/>
      <c r="D29" s="91"/>
      <c r="E29" s="91"/>
      <c r="F29" s="91"/>
      <c r="G29" s="91"/>
      <c r="H29" s="92"/>
      <c r="I29" s="92"/>
      <c r="J29" s="91"/>
      <c r="K29" s="91"/>
      <c r="L29" s="91"/>
      <c r="M29" s="91"/>
      <c r="N29" s="91"/>
      <c r="O29" s="91"/>
    </row>
    <row r="30" spans="1:20" ht="34.799999999999997" customHeight="1" thickTop="1" thickBot="1" x14ac:dyDescent="0.3">
      <c r="A30" s="91">
        <v>3</v>
      </c>
      <c r="B30" s="91"/>
      <c r="C30" s="91"/>
      <c r="D30" s="91"/>
      <c r="E30" s="91"/>
      <c r="F30" s="91"/>
      <c r="G30" s="91"/>
      <c r="H30" s="92"/>
      <c r="I30" s="92"/>
      <c r="J30" s="91"/>
      <c r="K30" s="91"/>
      <c r="L30" s="91"/>
      <c r="M30" s="91"/>
      <c r="N30" s="91"/>
      <c r="O30" s="91"/>
    </row>
    <row r="31" spans="1:20" ht="34.799999999999997" customHeight="1" thickTop="1" thickBot="1" x14ac:dyDescent="0.3">
      <c r="A31" s="91">
        <v>4</v>
      </c>
      <c r="B31" s="91"/>
      <c r="C31" s="91"/>
      <c r="D31" s="91"/>
      <c r="E31" s="91"/>
      <c r="F31" s="91"/>
      <c r="G31" s="91"/>
      <c r="H31" s="92"/>
      <c r="I31" s="92"/>
      <c r="J31" s="91"/>
      <c r="K31" s="91"/>
      <c r="L31" s="91"/>
      <c r="M31" s="91"/>
      <c r="N31" s="91"/>
      <c r="O31" s="91"/>
    </row>
    <row r="32" spans="1:20" ht="34.799999999999997" customHeight="1" thickTop="1" thickBot="1" x14ac:dyDescent="0.3">
      <c r="A32" s="91">
        <v>5</v>
      </c>
      <c r="B32" s="91"/>
      <c r="C32" s="91"/>
      <c r="D32" s="91"/>
      <c r="E32" s="91"/>
      <c r="F32" s="91"/>
      <c r="G32" s="91"/>
      <c r="H32" s="92"/>
      <c r="I32" s="92"/>
      <c r="J32" s="91"/>
      <c r="K32" s="91"/>
      <c r="L32" s="91"/>
      <c r="M32" s="91"/>
      <c r="N32" s="91"/>
      <c r="O32" s="91"/>
    </row>
    <row r="33" spans="1:15" s="98" customFormat="1" ht="34.799999999999997" customHeight="1" thickTop="1" thickBot="1" x14ac:dyDescent="0.3">
      <c r="A33" s="111"/>
      <c r="B33" s="111"/>
      <c r="C33" s="111"/>
      <c r="D33" s="111"/>
      <c r="E33" s="111"/>
      <c r="F33" s="111"/>
      <c r="G33" s="111"/>
      <c r="H33" s="109" t="s">
        <v>220</v>
      </c>
      <c r="I33" s="109"/>
      <c r="J33" s="111"/>
      <c r="K33" s="111"/>
      <c r="L33" s="111"/>
      <c r="M33" s="111"/>
      <c r="N33" s="111"/>
      <c r="O33" s="111"/>
    </row>
    <row r="34" spans="1:15" ht="34.799999999999997" customHeight="1" thickTop="1" thickBot="1" x14ac:dyDescent="0.3">
      <c r="A34" s="91">
        <v>1</v>
      </c>
      <c r="B34" s="91" t="s">
        <v>221</v>
      </c>
      <c r="C34" s="91" t="s">
        <v>222</v>
      </c>
      <c r="D34" s="91" t="s">
        <v>159</v>
      </c>
      <c r="E34" s="91" t="s">
        <v>223</v>
      </c>
      <c r="F34" s="91" t="s">
        <v>224</v>
      </c>
      <c r="G34" s="91" t="s">
        <v>192</v>
      </c>
      <c r="H34" s="92" t="s">
        <v>226</v>
      </c>
      <c r="I34" s="92" t="s">
        <v>226</v>
      </c>
      <c r="J34" s="110" t="s">
        <v>227</v>
      </c>
      <c r="K34" s="91" t="s">
        <v>180</v>
      </c>
      <c r="L34" s="91"/>
      <c r="M34" s="91"/>
      <c r="N34" s="91" t="s">
        <v>75</v>
      </c>
      <c r="O34" s="91"/>
    </row>
    <row r="35" spans="1:15" ht="34.799999999999997" customHeight="1" thickTop="1" thickBot="1" x14ac:dyDescent="0.3">
      <c r="A35" s="91">
        <v>2</v>
      </c>
      <c r="B35" s="91" t="s">
        <v>253</v>
      </c>
      <c r="C35" s="91" t="s">
        <v>254</v>
      </c>
      <c r="D35" s="91" t="s">
        <v>159</v>
      </c>
      <c r="E35" s="91" t="s">
        <v>255</v>
      </c>
      <c r="F35" s="91" t="s">
        <v>256</v>
      </c>
      <c r="G35" s="91" t="s">
        <v>192</v>
      </c>
      <c r="H35" s="92" t="s">
        <v>257</v>
      </c>
      <c r="I35" s="92" t="s">
        <v>257</v>
      </c>
      <c r="J35" s="110" t="s">
        <v>258</v>
      </c>
      <c r="K35" s="91" t="s">
        <v>180</v>
      </c>
      <c r="L35" s="91"/>
      <c r="M35" s="91"/>
      <c r="N35" s="91" t="s">
        <v>75</v>
      </c>
      <c r="O35" s="91"/>
    </row>
    <row r="36" spans="1:15" ht="34.799999999999997" customHeight="1" thickTop="1" thickBot="1" x14ac:dyDescent="0.3">
      <c r="A36" s="91">
        <v>3</v>
      </c>
      <c r="B36" s="91" t="s">
        <v>259</v>
      </c>
      <c r="C36" s="91" t="s">
        <v>264</v>
      </c>
      <c r="D36" s="91" t="s">
        <v>158</v>
      </c>
      <c r="E36" s="91" t="s">
        <v>240</v>
      </c>
      <c r="F36" s="91" t="s">
        <v>260</v>
      </c>
      <c r="G36" s="91" t="s">
        <v>192</v>
      </c>
      <c r="H36" s="92" t="s">
        <v>261</v>
      </c>
      <c r="I36" s="92" t="s">
        <v>262</v>
      </c>
      <c r="J36" s="91" t="s">
        <v>263</v>
      </c>
      <c r="K36" s="91" t="s">
        <v>179</v>
      </c>
      <c r="L36" s="91"/>
      <c r="M36" s="91"/>
      <c r="N36" s="91" t="s">
        <v>75</v>
      </c>
      <c r="O36" s="91"/>
    </row>
    <row r="37" spans="1:15" ht="34.799999999999997" customHeight="1" thickTop="1" thickBot="1" x14ac:dyDescent="0.3">
      <c r="A37" s="91">
        <v>4</v>
      </c>
      <c r="B37" s="91"/>
      <c r="C37" s="91"/>
      <c r="D37" s="91"/>
      <c r="E37" s="91"/>
      <c r="F37" s="91"/>
      <c r="G37" s="91"/>
      <c r="H37" s="92"/>
      <c r="I37" s="92"/>
      <c r="J37" s="91"/>
      <c r="K37" s="91"/>
      <c r="L37" s="91"/>
      <c r="M37" s="91"/>
      <c r="N37" s="91"/>
      <c r="O37" s="91"/>
    </row>
    <row r="38" spans="1:15" ht="34.799999999999997" customHeight="1" thickTop="1" thickBot="1" x14ac:dyDescent="0.3">
      <c r="A38" s="91">
        <v>5</v>
      </c>
      <c r="B38" s="91"/>
      <c r="C38" s="91"/>
      <c r="D38" s="91"/>
      <c r="E38" s="91"/>
      <c r="F38" s="91"/>
      <c r="G38" s="91"/>
      <c r="H38" s="92"/>
      <c r="I38" s="92"/>
      <c r="J38" s="91"/>
      <c r="K38" s="91"/>
      <c r="L38" s="91"/>
      <c r="M38" s="91"/>
      <c r="N38" s="91"/>
      <c r="O38" s="91"/>
    </row>
    <row r="39" spans="1:15" s="98" customFormat="1" ht="34.799999999999997" customHeight="1" thickTop="1" thickBot="1" x14ac:dyDescent="0.3">
      <c r="A39" s="111"/>
      <c r="B39" s="111"/>
      <c r="C39" s="111"/>
      <c r="D39" s="111"/>
      <c r="E39" s="111"/>
      <c r="F39" s="111"/>
      <c r="G39" s="111"/>
      <c r="H39" s="109" t="s">
        <v>228</v>
      </c>
      <c r="I39" s="109"/>
      <c r="J39" s="111"/>
      <c r="K39" s="111"/>
      <c r="L39" s="111"/>
      <c r="M39" s="111"/>
      <c r="N39" s="111"/>
      <c r="O39" s="111"/>
    </row>
    <row r="40" spans="1:15" ht="34.799999999999997" customHeight="1" thickTop="1" thickBot="1" x14ac:dyDescent="0.3">
      <c r="A40" s="91">
        <v>1</v>
      </c>
      <c r="B40" s="91" t="s">
        <v>229</v>
      </c>
      <c r="C40" s="91" t="s">
        <v>230</v>
      </c>
      <c r="D40" s="91" t="s">
        <v>159</v>
      </c>
      <c r="E40" s="91" t="s">
        <v>231</v>
      </c>
      <c r="F40" s="91" t="s">
        <v>232</v>
      </c>
      <c r="G40" s="91" t="s">
        <v>192</v>
      </c>
      <c r="H40" s="92" t="s">
        <v>233</v>
      </c>
      <c r="I40" s="92" t="s">
        <v>233</v>
      </c>
      <c r="J40" s="110" t="s">
        <v>194</v>
      </c>
      <c r="K40" s="91" t="s">
        <v>180</v>
      </c>
      <c r="L40" s="91"/>
      <c r="M40" s="91"/>
      <c r="N40" s="91" t="s">
        <v>75</v>
      </c>
      <c r="O40" s="91"/>
    </row>
    <row r="41" spans="1:15" ht="34.799999999999997" customHeight="1" thickTop="1" thickBot="1" x14ac:dyDescent="0.3">
      <c r="A41" s="91">
        <v>2</v>
      </c>
      <c r="B41" s="91" t="s">
        <v>234</v>
      </c>
      <c r="C41" s="91" t="s">
        <v>235</v>
      </c>
      <c r="D41" s="91" t="s">
        <v>159</v>
      </c>
      <c r="E41" s="91" t="s">
        <v>218</v>
      </c>
      <c r="F41" s="91" t="s">
        <v>236</v>
      </c>
      <c r="G41" s="91" t="s">
        <v>192</v>
      </c>
      <c r="H41" s="92" t="s">
        <v>237</v>
      </c>
      <c r="I41" s="92" t="s">
        <v>237</v>
      </c>
      <c r="J41" s="110" t="s">
        <v>194</v>
      </c>
      <c r="K41" s="91" t="s">
        <v>180</v>
      </c>
      <c r="L41" s="91"/>
      <c r="M41" s="91"/>
      <c r="N41" s="91" t="s">
        <v>75</v>
      </c>
      <c r="O41" s="91"/>
    </row>
    <row r="42" spans="1:15" ht="34.799999999999997" customHeight="1" thickTop="1" thickBot="1" x14ac:dyDescent="0.3">
      <c r="A42" s="91">
        <v>3</v>
      </c>
      <c r="B42" s="91"/>
      <c r="C42" s="91"/>
      <c r="D42" s="91"/>
      <c r="E42" s="91"/>
      <c r="F42" s="91"/>
      <c r="G42" s="91"/>
      <c r="H42" s="92"/>
      <c r="I42" s="92"/>
      <c r="J42" s="91"/>
      <c r="K42" s="91"/>
      <c r="L42" s="91"/>
      <c r="M42" s="91"/>
      <c r="N42" s="91"/>
      <c r="O42" s="91"/>
    </row>
    <row r="43" spans="1:15" ht="34.799999999999997" customHeight="1" thickTop="1" thickBot="1" x14ac:dyDescent="0.3">
      <c r="A43" s="91">
        <v>4</v>
      </c>
      <c r="B43" s="91"/>
      <c r="C43" s="91"/>
      <c r="D43" s="91"/>
      <c r="E43" s="91"/>
      <c r="F43" s="91"/>
      <c r="G43" s="91"/>
      <c r="H43" s="92"/>
      <c r="I43" s="92"/>
      <c r="J43" s="91"/>
      <c r="K43" s="91"/>
      <c r="L43" s="91"/>
      <c r="M43" s="91"/>
      <c r="N43" s="91"/>
      <c r="O43" s="91"/>
    </row>
    <row r="44" spans="1:15" ht="34.799999999999997" customHeight="1" thickTop="1" thickBot="1" x14ac:dyDescent="0.3">
      <c r="A44" s="91"/>
      <c r="B44" s="91"/>
      <c r="C44" s="91"/>
      <c r="D44" s="91"/>
      <c r="E44" s="91"/>
      <c r="F44" s="91"/>
      <c r="G44" s="91"/>
      <c r="H44" s="92"/>
      <c r="I44" s="92"/>
      <c r="J44" s="91"/>
      <c r="K44" s="91"/>
      <c r="L44" s="91"/>
      <c r="M44" s="91"/>
      <c r="N44" s="91"/>
      <c r="O44" s="91"/>
    </row>
    <row r="45" spans="1:15" ht="34.799999999999997" customHeight="1" thickTop="1" thickBot="1" x14ac:dyDescent="0.3">
      <c r="A45" s="91"/>
      <c r="B45" s="91"/>
      <c r="C45" s="91"/>
      <c r="D45" s="91"/>
      <c r="E45" s="91"/>
      <c r="F45" s="91"/>
      <c r="G45" s="91"/>
      <c r="H45" s="92"/>
      <c r="I45" s="92"/>
      <c r="J45" s="91"/>
      <c r="K45" s="91"/>
      <c r="L45" s="91"/>
      <c r="M45" s="91"/>
      <c r="N45" s="91"/>
      <c r="O45" s="91"/>
    </row>
    <row r="46" spans="1:15" ht="34.799999999999997" customHeight="1" thickTop="1" thickBot="1" x14ac:dyDescent="0.3">
      <c r="A46" s="91"/>
      <c r="B46" s="91"/>
      <c r="C46" s="91"/>
      <c r="D46" s="91"/>
      <c r="E46" s="91"/>
      <c r="F46" s="91"/>
      <c r="G46" s="91"/>
      <c r="H46" s="92"/>
      <c r="I46" s="92"/>
      <c r="J46" s="91"/>
      <c r="K46" s="91"/>
      <c r="L46" s="91"/>
      <c r="M46" s="91"/>
      <c r="N46" s="91"/>
      <c r="O46" s="91"/>
    </row>
    <row r="47" spans="1:15" ht="34.799999999999997" customHeight="1" thickTop="1" thickBot="1" x14ac:dyDescent="0.3">
      <c r="A47" s="91"/>
      <c r="B47" s="91"/>
      <c r="C47" s="91"/>
      <c r="D47" s="91"/>
      <c r="E47" s="91"/>
      <c r="F47" s="91"/>
      <c r="G47" s="91"/>
      <c r="H47" s="92"/>
      <c r="I47" s="92"/>
      <c r="J47" s="91"/>
      <c r="K47" s="91"/>
      <c r="L47" s="91"/>
      <c r="M47" s="91"/>
      <c r="N47" s="91"/>
      <c r="O47" s="91"/>
    </row>
    <row r="48" spans="1:15" ht="34.799999999999997" customHeight="1" thickTop="1" thickBot="1" x14ac:dyDescent="0.3">
      <c r="A48" s="91"/>
      <c r="B48" s="91"/>
      <c r="C48" s="91"/>
      <c r="D48" s="91"/>
      <c r="E48" s="91"/>
      <c r="F48" s="91"/>
      <c r="G48" s="91"/>
      <c r="H48" s="92"/>
      <c r="I48" s="92"/>
      <c r="J48" s="91"/>
      <c r="K48" s="91"/>
      <c r="L48" s="91"/>
      <c r="M48" s="91"/>
      <c r="N48" s="91"/>
      <c r="O48" s="91"/>
    </row>
    <row r="49" spans="1:15" ht="34.799999999999997" customHeight="1" thickTop="1" thickBot="1" x14ac:dyDescent="0.3">
      <c r="A49" s="91"/>
      <c r="B49" s="91"/>
      <c r="C49" s="91"/>
      <c r="D49" s="91"/>
      <c r="E49" s="91"/>
      <c r="F49" s="91"/>
      <c r="G49" s="91"/>
      <c r="H49" s="92"/>
      <c r="I49" s="92"/>
      <c r="J49" s="91"/>
      <c r="K49" s="91"/>
      <c r="L49" s="91"/>
      <c r="M49" s="91"/>
      <c r="N49" s="91"/>
      <c r="O49" s="91"/>
    </row>
    <row r="50" spans="1:15" ht="34.799999999999997" customHeight="1" thickTop="1" thickBot="1" x14ac:dyDescent="0.3">
      <c r="A50" s="91"/>
      <c r="B50" s="91"/>
      <c r="C50" s="91"/>
      <c r="D50" s="91"/>
      <c r="E50" s="91"/>
      <c r="F50" s="91"/>
      <c r="G50" s="91"/>
      <c r="H50" s="92"/>
      <c r="I50" s="92"/>
      <c r="J50" s="91"/>
      <c r="K50" s="91"/>
      <c r="L50" s="91"/>
      <c r="M50" s="91"/>
      <c r="N50" s="91"/>
      <c r="O50" s="91"/>
    </row>
    <row r="51" spans="1:15" ht="34.799999999999997" customHeight="1" thickTop="1" thickBot="1" x14ac:dyDescent="0.3">
      <c r="A51" s="91"/>
      <c r="B51" s="91"/>
      <c r="C51" s="91"/>
      <c r="D51" s="91"/>
      <c r="E51" s="91"/>
      <c r="F51" s="91"/>
      <c r="G51" s="91"/>
      <c r="H51" s="92"/>
      <c r="I51" s="92"/>
      <c r="J51" s="91"/>
      <c r="K51" s="91"/>
      <c r="L51" s="91"/>
      <c r="M51" s="91"/>
      <c r="N51" s="91"/>
      <c r="O51" s="91"/>
    </row>
    <row r="52" spans="1:15" ht="34.799999999999997" customHeight="1" thickTop="1" thickBot="1" x14ac:dyDescent="0.3">
      <c r="A52" s="91"/>
      <c r="B52" s="91"/>
      <c r="C52" s="91"/>
      <c r="D52" s="91"/>
      <c r="E52" s="91"/>
      <c r="F52" s="91"/>
      <c r="G52" s="91"/>
      <c r="H52" s="92"/>
      <c r="I52" s="92"/>
      <c r="J52" s="91"/>
      <c r="K52" s="91"/>
      <c r="L52" s="91"/>
      <c r="M52" s="91"/>
      <c r="N52" s="91"/>
      <c r="O52" s="91"/>
    </row>
    <row r="53" spans="1:15" ht="34.799999999999997" customHeight="1" thickTop="1" thickBot="1" x14ac:dyDescent="0.3">
      <c r="A53" s="91"/>
      <c r="B53" s="91"/>
      <c r="C53" s="91"/>
      <c r="D53" s="91"/>
      <c r="E53" s="91"/>
      <c r="F53" s="91"/>
      <c r="G53" s="91"/>
      <c r="H53" s="92"/>
      <c r="I53" s="92"/>
      <c r="J53" s="91"/>
      <c r="K53" s="91"/>
      <c r="L53" s="91"/>
      <c r="M53" s="91"/>
      <c r="N53" s="91"/>
      <c r="O53" s="91"/>
    </row>
    <row r="54" spans="1:15" ht="34.799999999999997" customHeight="1" thickTop="1" thickBot="1" x14ac:dyDescent="0.3">
      <c r="A54" s="91"/>
      <c r="B54" s="91"/>
      <c r="C54" s="91"/>
      <c r="D54" s="91"/>
      <c r="E54" s="91"/>
      <c r="F54" s="91"/>
      <c r="G54" s="91"/>
      <c r="H54" s="92"/>
      <c r="I54" s="92"/>
      <c r="J54" s="91"/>
      <c r="K54" s="91"/>
      <c r="L54" s="91"/>
      <c r="M54" s="91"/>
      <c r="N54" s="91"/>
      <c r="O54" s="91"/>
    </row>
    <row r="55" spans="1:15" ht="34.799999999999997" customHeight="1" thickTop="1" thickBot="1" x14ac:dyDescent="0.3">
      <c r="A55" s="91"/>
      <c r="B55" s="91"/>
      <c r="C55" s="91"/>
      <c r="D55" s="91"/>
      <c r="E55" s="91"/>
      <c r="F55" s="91"/>
      <c r="G55" s="91"/>
      <c r="H55" s="92"/>
      <c r="I55" s="92"/>
      <c r="J55" s="91"/>
      <c r="K55" s="91"/>
      <c r="L55" s="91"/>
      <c r="M55" s="91"/>
      <c r="N55" s="91"/>
      <c r="O55" s="91"/>
    </row>
    <row r="56" spans="1:15" ht="34.799999999999997" customHeight="1" thickTop="1" thickBot="1" x14ac:dyDescent="0.3">
      <c r="A56" s="91"/>
      <c r="B56" s="91"/>
      <c r="C56" s="91"/>
      <c r="D56" s="91"/>
      <c r="E56" s="91"/>
      <c r="F56" s="91"/>
      <c r="G56" s="91"/>
      <c r="H56" s="92"/>
      <c r="I56" s="92"/>
      <c r="J56" s="91"/>
      <c r="K56" s="91"/>
      <c r="L56" s="91"/>
      <c r="M56" s="91"/>
      <c r="N56" s="91"/>
      <c r="O56" s="91"/>
    </row>
    <row r="57" spans="1:15" ht="34.799999999999997" customHeight="1" thickTop="1" thickBot="1" x14ac:dyDescent="0.3">
      <c r="A57" s="91"/>
      <c r="B57" s="91"/>
      <c r="C57" s="91"/>
      <c r="D57" s="91"/>
      <c r="E57" s="91"/>
      <c r="F57" s="91"/>
      <c r="G57" s="91"/>
      <c r="H57" s="92"/>
      <c r="I57" s="92"/>
      <c r="J57" s="91"/>
      <c r="K57" s="91"/>
      <c r="L57" s="91"/>
      <c r="M57" s="91"/>
      <c r="N57" s="91"/>
      <c r="O57" s="91"/>
    </row>
    <row r="58" spans="1:15" ht="34.799999999999997" customHeight="1" thickTop="1" thickBot="1" x14ac:dyDescent="0.3">
      <c r="A58" s="91"/>
      <c r="B58" s="91"/>
      <c r="C58" s="91"/>
      <c r="D58" s="91"/>
      <c r="E58" s="91"/>
      <c r="F58" s="91"/>
      <c r="G58" s="91"/>
      <c r="H58" s="92"/>
      <c r="I58" s="92"/>
      <c r="J58" s="91"/>
      <c r="K58" s="91"/>
      <c r="L58" s="91"/>
      <c r="M58" s="91"/>
      <c r="N58" s="91"/>
      <c r="O58" s="91"/>
    </row>
    <row r="59" spans="1:15" ht="34.799999999999997" customHeight="1" thickTop="1" thickBot="1" x14ac:dyDescent="0.3">
      <c r="A59" s="91"/>
      <c r="B59" s="91"/>
      <c r="C59" s="91"/>
      <c r="D59" s="91"/>
      <c r="E59" s="91"/>
      <c r="F59" s="91"/>
      <c r="G59" s="91"/>
      <c r="H59" s="92"/>
      <c r="I59" s="92"/>
      <c r="J59" s="91"/>
      <c r="K59" s="91"/>
      <c r="L59" s="91"/>
      <c r="M59" s="91"/>
      <c r="N59" s="91"/>
      <c r="O59" s="91"/>
    </row>
    <row r="60" spans="1:15" ht="34.799999999999997" customHeight="1" thickTop="1" thickBot="1" x14ac:dyDescent="0.3">
      <c r="A60" s="91"/>
      <c r="B60" s="91"/>
      <c r="C60" s="91"/>
      <c r="D60" s="91"/>
      <c r="E60" s="91"/>
      <c r="F60" s="91"/>
      <c r="G60" s="91"/>
      <c r="H60" s="92"/>
      <c r="I60" s="92"/>
      <c r="J60" s="91"/>
      <c r="K60" s="91"/>
      <c r="L60" s="91"/>
      <c r="M60" s="91"/>
      <c r="N60" s="91"/>
      <c r="O60" s="91"/>
    </row>
    <row r="61" spans="1:15" ht="34.799999999999997" customHeight="1" thickTop="1" x14ac:dyDescent="0.25"/>
  </sheetData>
  <mergeCells count="1">
    <mergeCell ref="A1:O1"/>
  </mergeCells>
  <hyperlinks>
    <hyperlink ref="J4" r:id="rId1" xr:uid="{055397EA-EE93-4D8D-8B22-A81E03BDE48A}"/>
    <hyperlink ref="J5" r:id="rId2" xr:uid="{B2BBDF73-C362-4302-9C41-1DF9F077076D}"/>
    <hyperlink ref="J6" r:id="rId3" xr:uid="{8E3D3F51-4ABF-4F2F-9298-0BE677FE6C76}"/>
    <hyperlink ref="J7" r:id="rId4" xr:uid="{FC7A893D-EF52-4F85-A7B6-1696C2FDFDCE}"/>
    <hyperlink ref="J8" r:id="rId5" xr:uid="{FB991A7F-5261-46CB-9A90-80924458EBD9}"/>
    <hyperlink ref="J10" r:id="rId6" xr:uid="{D1D47054-4DEE-477D-B199-79CE3EDF5164}"/>
    <hyperlink ref="J22" r:id="rId7" xr:uid="{C9A0F06C-7156-4112-8E6A-2FD22DAD3362}"/>
    <hyperlink ref="J23" r:id="rId8" xr:uid="{962F9018-0957-4C86-B0EE-8917A54E54F7}"/>
    <hyperlink ref="J34" r:id="rId9" xr:uid="{5DBB6861-024F-4FFF-9CA7-8AFB9DDA2A8B}"/>
    <hyperlink ref="J40" r:id="rId10" xr:uid="{933F1921-BA81-4413-8CC7-DB681AAC8428}"/>
    <hyperlink ref="J41" r:id="rId11" xr:uid="{3A3031C7-D0CE-46AB-8A90-28EC20842CD9}"/>
    <hyperlink ref="J11" r:id="rId12" xr:uid="{2EE04B77-2AEC-4ED5-85D0-B0537441C7C7}"/>
    <hyperlink ref="J12" r:id="rId13" xr:uid="{AC39977E-1ABA-4CAB-91C3-3E601FE37024}"/>
    <hyperlink ref="J16" r:id="rId14" xr:uid="{134D1B83-7424-4D71-8BEC-47ABE5DB4521}"/>
    <hyperlink ref="J17" r:id="rId15" xr:uid="{A8804D61-CFC0-46CF-AEE4-0527DD530D8E}"/>
    <hyperlink ref="J35" r:id="rId16" xr:uid="{6EA364E9-4CEA-41D4-A274-5CC48B6B8CBC}"/>
  </hyperlinks>
  <printOptions horizontalCentered="1" verticalCentered="1"/>
  <pageMargins left="0.7" right="0.7" top="0.75" bottom="0.75" header="0.3" footer="0.3"/>
  <pageSetup scale="29" orientation="portrait" r:id="rId17"/>
  <tableParts count="1">
    <tablePart r:id="rId1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002060"/>
  </sheetPr>
  <dimension ref="A1:T15"/>
  <sheetViews>
    <sheetView rightToLeft="1" view="pageBreakPreview" topLeftCell="C1" zoomScale="96" zoomScaleNormal="113" zoomScaleSheetLayoutView="96" workbookViewId="0">
      <pane ySplit="2" topLeftCell="A3" activePane="bottomLeft" state="frozen"/>
      <selection pane="bottomLeft" activeCell="J4" sqref="J4"/>
    </sheetView>
  </sheetViews>
  <sheetFormatPr defaultRowHeight="13.8" x14ac:dyDescent="0.25"/>
  <cols>
    <col min="1" max="2" width="17" style="1" customWidth="1"/>
    <col min="3" max="6" width="16" style="1" customWidth="1"/>
    <col min="7" max="7" width="21" style="1" customWidth="1"/>
    <col min="8" max="8" width="17" style="48" customWidth="1"/>
    <col min="9" max="9" width="28" style="48" customWidth="1"/>
    <col min="10" max="10" width="16" style="1" customWidth="1"/>
    <col min="11" max="11" width="18" style="1" customWidth="1"/>
    <col min="12" max="12" width="16" style="1" customWidth="1"/>
  </cols>
  <sheetData>
    <row r="1" spans="1:20" ht="21" x14ac:dyDescent="0.25">
      <c r="A1" s="130" t="s">
        <v>53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9"/>
      <c r="N1" s="9"/>
      <c r="O1" s="9"/>
      <c r="P1" s="9"/>
      <c r="Q1" s="9"/>
      <c r="R1" s="9"/>
      <c r="S1" s="9"/>
      <c r="T1" s="9"/>
    </row>
    <row r="2" spans="1:20" x14ac:dyDescent="0.25">
      <c r="A2" s="13" t="s">
        <v>21</v>
      </c>
      <c r="B2" s="6" t="s">
        <v>20</v>
      </c>
      <c r="C2" s="6" t="s">
        <v>54</v>
      </c>
      <c r="D2" s="6" t="s">
        <v>28</v>
      </c>
      <c r="E2" s="13" t="s">
        <v>27</v>
      </c>
      <c r="F2" s="13" t="s">
        <v>41</v>
      </c>
      <c r="G2" s="6" t="s">
        <v>22</v>
      </c>
      <c r="H2" s="45" t="s">
        <v>55</v>
      </c>
      <c r="I2" s="45" t="s">
        <v>56</v>
      </c>
      <c r="J2" s="6" t="s">
        <v>57</v>
      </c>
      <c r="K2" s="6" t="s">
        <v>58</v>
      </c>
      <c r="L2" s="6" t="s">
        <v>45</v>
      </c>
      <c r="M2" s="9"/>
      <c r="N2" s="9"/>
      <c r="O2" s="9"/>
      <c r="P2" s="9"/>
      <c r="Q2" s="9"/>
      <c r="R2" s="9"/>
      <c r="S2" s="9"/>
      <c r="T2" s="9"/>
    </row>
    <row r="3" spans="1:20" x14ac:dyDescent="0.25">
      <c r="A3" s="14" t="s">
        <v>161</v>
      </c>
      <c r="B3" s="14" t="s">
        <v>162</v>
      </c>
      <c r="C3" s="14" t="s">
        <v>163</v>
      </c>
      <c r="D3" s="14" t="s">
        <v>158</v>
      </c>
      <c r="E3" s="14" t="s">
        <v>158</v>
      </c>
      <c r="F3" s="14" t="s">
        <v>164</v>
      </c>
      <c r="G3" s="14" t="s">
        <v>165</v>
      </c>
      <c r="H3" s="46">
        <v>46224</v>
      </c>
      <c r="I3" s="46">
        <v>46589</v>
      </c>
      <c r="J3" s="11">
        <v>1500000</v>
      </c>
      <c r="K3" s="14" t="s">
        <v>166</v>
      </c>
      <c r="L3" s="10"/>
      <c r="M3" s="9"/>
      <c r="N3" s="9"/>
      <c r="O3" s="9"/>
      <c r="P3" s="9"/>
      <c r="Q3" s="9"/>
      <c r="R3" s="9"/>
      <c r="S3" s="9"/>
      <c r="T3" s="9"/>
    </row>
    <row r="4" spans="1:20" x14ac:dyDescent="0.25">
      <c r="A4" s="14" t="s">
        <v>287</v>
      </c>
      <c r="B4" s="112" t="s">
        <v>299</v>
      </c>
      <c r="C4" s="112" t="s">
        <v>300</v>
      </c>
      <c r="D4" s="112" t="s">
        <v>159</v>
      </c>
      <c r="E4" s="112" t="s">
        <v>159</v>
      </c>
      <c r="F4" s="112" t="s">
        <v>301</v>
      </c>
      <c r="G4" s="112" t="s">
        <v>302</v>
      </c>
      <c r="H4" s="113">
        <v>46222</v>
      </c>
      <c r="I4" s="47">
        <v>46253</v>
      </c>
      <c r="J4" s="112" t="s">
        <v>303</v>
      </c>
      <c r="K4" s="14" t="s">
        <v>166</v>
      </c>
      <c r="L4" s="9"/>
      <c r="M4" s="9"/>
      <c r="N4" s="9"/>
      <c r="O4" s="9"/>
      <c r="P4" s="9"/>
      <c r="Q4" s="9"/>
      <c r="R4" s="9"/>
      <c r="S4" s="9"/>
      <c r="T4" s="9"/>
    </row>
    <row r="5" spans="1:20" x14ac:dyDescent="0.25">
      <c r="A5" s="14" t="s">
        <v>288</v>
      </c>
      <c r="B5" s="9"/>
      <c r="C5" s="9"/>
      <c r="D5" s="9"/>
      <c r="E5" s="9"/>
      <c r="F5" s="9"/>
      <c r="G5" s="9"/>
      <c r="H5" s="47"/>
      <c r="I5" s="47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 x14ac:dyDescent="0.25">
      <c r="A6" s="14" t="s">
        <v>289</v>
      </c>
      <c r="B6" s="9"/>
      <c r="C6" s="9"/>
      <c r="D6" s="9"/>
      <c r="E6" s="9"/>
      <c r="F6" s="9"/>
      <c r="G6" s="9"/>
      <c r="H6" s="47"/>
      <c r="I6" s="47"/>
      <c r="J6" s="9"/>
      <c r="K6" s="9"/>
      <c r="L6" s="9"/>
      <c r="M6" s="9"/>
      <c r="N6" s="9"/>
      <c r="O6" s="9"/>
      <c r="P6" s="9"/>
      <c r="Q6" s="9"/>
      <c r="R6" s="9"/>
      <c r="S6" s="9"/>
      <c r="T6" s="9"/>
    </row>
    <row r="7" spans="1:20" x14ac:dyDescent="0.25">
      <c r="A7" s="14" t="s">
        <v>290</v>
      </c>
      <c r="B7" s="9"/>
      <c r="C7" s="9"/>
      <c r="D7" s="9"/>
      <c r="E7" s="9"/>
      <c r="F7" s="9"/>
      <c r="G7" s="9"/>
      <c r="H7" s="47"/>
      <c r="I7" s="47"/>
      <c r="J7" s="9"/>
      <c r="K7" s="9"/>
      <c r="L7" s="9"/>
      <c r="M7" s="9"/>
      <c r="N7" s="9"/>
      <c r="O7" s="9"/>
      <c r="P7" s="9"/>
      <c r="Q7" s="9"/>
      <c r="R7" s="9"/>
      <c r="S7" s="9"/>
      <c r="T7" s="9"/>
    </row>
    <row r="8" spans="1:20" x14ac:dyDescent="0.25">
      <c r="A8" s="14" t="s">
        <v>291</v>
      </c>
      <c r="B8" s="9"/>
      <c r="C8" s="9"/>
      <c r="D8" s="9"/>
      <c r="E8" s="9"/>
      <c r="F8" s="9"/>
      <c r="G8" s="9"/>
      <c r="H8" s="47"/>
      <c r="I8" s="47"/>
      <c r="J8" s="9"/>
      <c r="K8" s="9"/>
      <c r="L8" s="9"/>
      <c r="M8" s="9"/>
      <c r="N8" s="9"/>
      <c r="O8" s="9"/>
      <c r="P8" s="9"/>
      <c r="Q8" s="9"/>
      <c r="R8" s="9"/>
      <c r="S8" s="9"/>
      <c r="T8" s="9"/>
    </row>
    <row r="9" spans="1:20" x14ac:dyDescent="0.25">
      <c r="A9" s="14" t="s">
        <v>292</v>
      </c>
      <c r="B9" s="9"/>
      <c r="C9" s="9"/>
      <c r="D9" s="9"/>
      <c r="E9" s="9"/>
      <c r="F9" s="9"/>
      <c r="G9" s="9"/>
      <c r="H9" s="47"/>
      <c r="I9" s="47"/>
      <c r="J9" s="9"/>
      <c r="K9" s="9"/>
      <c r="L9" s="9"/>
      <c r="M9" s="9"/>
      <c r="N9" s="9"/>
      <c r="O9" s="9"/>
      <c r="P9" s="9"/>
      <c r="Q9" s="9"/>
      <c r="R9" s="9"/>
      <c r="S9" s="9"/>
      <c r="T9" s="9"/>
    </row>
    <row r="10" spans="1:20" x14ac:dyDescent="0.25">
      <c r="A10" s="14" t="s">
        <v>293</v>
      </c>
      <c r="B10" s="9"/>
      <c r="C10" s="9"/>
      <c r="D10" s="9"/>
      <c r="E10" s="9"/>
      <c r="F10" s="9"/>
      <c r="G10" s="9"/>
      <c r="H10" s="47"/>
      <c r="I10" s="47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</row>
    <row r="11" spans="1:20" x14ac:dyDescent="0.25">
      <c r="A11" s="14" t="s">
        <v>294</v>
      </c>
      <c r="B11" s="9"/>
      <c r="C11" s="9"/>
      <c r="D11" s="9"/>
      <c r="E11" s="9"/>
      <c r="F11" s="9"/>
      <c r="G11" s="9"/>
      <c r="H11" s="47"/>
      <c r="I11" s="47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</row>
    <row r="12" spans="1:20" x14ac:dyDescent="0.25">
      <c r="A12" s="14" t="s">
        <v>295</v>
      </c>
      <c r="B12" s="9"/>
      <c r="C12" s="9"/>
      <c r="D12" s="9"/>
      <c r="E12" s="9"/>
      <c r="F12" s="9"/>
      <c r="G12" s="9"/>
      <c r="H12" s="47"/>
      <c r="I12" s="47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</row>
    <row r="13" spans="1:20" x14ac:dyDescent="0.25">
      <c r="A13" s="14" t="s">
        <v>296</v>
      </c>
      <c r="B13" s="9"/>
      <c r="C13" s="9"/>
      <c r="D13" s="9"/>
      <c r="E13" s="9"/>
      <c r="F13" s="9"/>
      <c r="G13" s="9"/>
      <c r="H13" s="47"/>
      <c r="I13" s="47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</row>
    <row r="14" spans="1:20" x14ac:dyDescent="0.25">
      <c r="A14" s="14" t="s">
        <v>297</v>
      </c>
      <c r="B14" s="9"/>
      <c r="C14" s="9"/>
      <c r="D14" s="9"/>
      <c r="E14" s="9"/>
      <c r="F14" s="9"/>
      <c r="G14" s="9"/>
      <c r="H14" s="47"/>
      <c r="I14" s="47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</row>
    <row r="15" spans="1:20" x14ac:dyDescent="0.25">
      <c r="A15" s="14" t="s">
        <v>298</v>
      </c>
      <c r="B15" s="9"/>
      <c r="C15" s="9"/>
      <c r="D15" s="9"/>
      <c r="E15" s="9"/>
      <c r="F15" s="9"/>
      <c r="G15" s="9"/>
      <c r="H15" s="47"/>
      <c r="I15" s="47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</row>
  </sheetData>
  <mergeCells count="1">
    <mergeCell ref="A1:L1"/>
  </mergeCells>
  <phoneticPr fontId="10" type="noConversion"/>
  <pageMargins left="0.7" right="0.7" top="0.75" bottom="0.75" header="0.3" footer="0.3"/>
  <pageSetup scale="42" orientation="portrait" r:id="rId1"/>
  <colBreaks count="1" manualBreakCount="1">
    <brk id="12" max="1048575" man="1"/>
  </colBreak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7"/>
  </sheetPr>
  <dimension ref="A1:T27"/>
  <sheetViews>
    <sheetView rightToLeft="1" view="pageBreakPreview" zoomScaleNormal="115" zoomScaleSheetLayoutView="100" workbookViewId="0">
      <pane ySplit="2" topLeftCell="A20" activePane="bottomLeft" state="frozen"/>
      <selection pane="bottomLeft" activeCell="H43" sqref="H43"/>
    </sheetView>
  </sheetViews>
  <sheetFormatPr defaultRowHeight="15.6" x14ac:dyDescent="0.3"/>
  <cols>
    <col min="1" max="5" width="16" style="57" customWidth="1"/>
    <col min="6" max="6" width="19" style="57" customWidth="1"/>
    <col min="7" max="7" width="18" style="68" customWidth="1"/>
    <col min="8" max="8" width="17" style="85" customWidth="1"/>
    <col min="9" max="9" width="16" style="70" customWidth="1"/>
    <col min="10" max="10" width="16" style="69" customWidth="1"/>
    <col min="11" max="12" width="16" style="57" customWidth="1"/>
    <col min="13" max="16384" width="8.796875" style="57"/>
  </cols>
  <sheetData>
    <row r="1" spans="1:20" x14ac:dyDescent="0.25">
      <c r="A1" s="132" t="s">
        <v>46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56"/>
      <c r="N1" s="56"/>
      <c r="O1" s="56"/>
      <c r="P1" s="56"/>
      <c r="Q1" s="56"/>
      <c r="R1" s="56"/>
      <c r="S1" s="56"/>
      <c r="T1" s="56"/>
    </row>
    <row r="2" spans="1:20" x14ac:dyDescent="0.25">
      <c r="A2" s="58" t="s">
        <v>47</v>
      </c>
      <c r="B2" s="58" t="s">
        <v>48</v>
      </c>
      <c r="C2" s="58" t="s">
        <v>49</v>
      </c>
      <c r="D2" s="58" t="s">
        <v>33</v>
      </c>
      <c r="E2" s="58" t="s">
        <v>50</v>
      </c>
      <c r="F2" s="58" t="s">
        <v>51</v>
      </c>
      <c r="G2" s="59" t="s">
        <v>52</v>
      </c>
      <c r="H2" s="83" t="s">
        <v>172</v>
      </c>
      <c r="I2" s="59" t="s">
        <v>173</v>
      </c>
      <c r="J2" s="60" t="s">
        <v>174</v>
      </c>
      <c r="K2" s="58" t="s">
        <v>175</v>
      </c>
      <c r="L2" s="58" t="s">
        <v>45</v>
      </c>
      <c r="M2" s="56"/>
      <c r="N2" s="56"/>
      <c r="O2" s="56"/>
      <c r="P2" s="56"/>
      <c r="Q2" s="56"/>
      <c r="R2" s="56"/>
      <c r="S2" s="56"/>
      <c r="T2" s="56"/>
    </row>
    <row r="3" spans="1:20" ht="13.8" customHeight="1" x14ac:dyDescent="0.25">
      <c r="A3" s="61" t="s">
        <v>98</v>
      </c>
      <c r="B3" s="62" t="s">
        <v>108</v>
      </c>
      <c r="C3" s="61" t="s">
        <v>118</v>
      </c>
      <c r="D3" s="57" t="s">
        <v>124</v>
      </c>
      <c r="E3" s="61"/>
      <c r="F3" s="63" t="str" cm="1">
        <f t="array" ref="F3">IFERROR(LOOKUP(2,1/(tblPriceHistory[كود الصنف]=tblItems[[#This Row],[كود الصنف]]),tblPriceHistory[المورد]),"")</f>
        <v/>
      </c>
      <c r="G3" s="59" t="str" cm="1">
        <f t="array" ref="G3">IFERROR(LOOKUP(2,1/(tblPriceHistory[كود الصنف]=tblItems[[#This Row],[كود الصنف]]),tblPriceHistory[سعر الوحدة]),"")</f>
        <v/>
      </c>
      <c r="H3" s="84">
        <f>IFERROR(_xlfn.MAXIFS(tblPriceHistory[التاريخ],tblPriceHistory[كود الصنف],tblItems[[#This Row],[كود الصنف]]),"")</f>
        <v>0</v>
      </c>
      <c r="I3" s="64">
        <f>IFERROR(COUNTIFS(tblPriceHistory[كود الصنف],tblItems[[#This Row],[كود الصنف]]),0)</f>
        <v>0</v>
      </c>
      <c r="J3" s="65">
        <f>IFERROR(SUMIFS(tblPriceHistory[الكمية],tblPriceHistory[كود الصنف],tblItems[[#This Row],[كود الصنف]]),0)</f>
        <v>0</v>
      </c>
      <c r="K3" s="61">
        <f>IFERROR(SUMIFS(tblPriceHistory[السعر النهائي],tblPriceHistory[كود الصنف],tblItems[[#This Row],[كود الصنف]]),0)</f>
        <v>0</v>
      </c>
      <c r="L3" s="61"/>
      <c r="M3" s="56"/>
      <c r="N3" s="56"/>
      <c r="O3" s="56"/>
      <c r="P3" s="56"/>
      <c r="Q3" s="56"/>
      <c r="R3" s="56"/>
      <c r="S3" s="56"/>
      <c r="T3" s="56"/>
    </row>
    <row r="4" spans="1:20" x14ac:dyDescent="0.25">
      <c r="A4" s="61" t="s">
        <v>99</v>
      </c>
      <c r="B4" s="62" t="s">
        <v>109</v>
      </c>
      <c r="C4" s="62" t="s">
        <v>119</v>
      </c>
      <c r="D4" s="57" t="s">
        <v>124</v>
      </c>
      <c r="E4" s="56"/>
      <c r="F4" s="56" t="str" cm="1">
        <f t="array" ref="F4">IFERROR(LOOKUP(2,1/(tblPriceHistory[كود الصنف]=tblItems[[#This Row],[كود الصنف]]),tblPriceHistory[المورد]),"")</f>
        <v/>
      </c>
      <c r="G4" s="59" t="str" cm="1">
        <f t="array" ref="G4">IFERROR(LOOKUP(2,1/(tblPriceHistory[كود الصنف]=tblItems[[#This Row],[كود الصنف]]),tblPriceHistory[سعر الوحدة]),"")</f>
        <v/>
      </c>
      <c r="H4" s="84">
        <f>IFERROR(_xlfn.MAXIFS(tblPriceHistory[التاريخ],tblPriceHistory[كود الصنف],tblItems[[#This Row],[كود الصنف]]),"")</f>
        <v>0</v>
      </c>
      <c r="I4" s="64">
        <f>IFERROR(COUNTIFS(tblPriceHistory[كود الصنف],tblItems[[#This Row],[كود الصنف]]),0)</f>
        <v>0</v>
      </c>
      <c r="J4" s="66">
        <f>IFERROR(SUMIFS(tblPriceHistory[الكمية],tblPriceHistory[كود الصنف],tblItems[[#This Row],[كود الصنف]]),0)</f>
        <v>0</v>
      </c>
      <c r="K4" s="56">
        <f>IFERROR(SUMIFS(tblPriceHistory[السعر النهائي],tblPriceHistory[كود الصنف],tblItems[[#This Row],[كود الصنف]]),0)</f>
        <v>0</v>
      </c>
      <c r="L4" s="56"/>
      <c r="M4" s="56"/>
      <c r="N4" s="56"/>
      <c r="O4" s="56"/>
      <c r="P4" s="56"/>
      <c r="Q4" s="56"/>
      <c r="R4" s="56"/>
      <c r="S4" s="56"/>
      <c r="T4" s="56"/>
    </row>
    <row r="5" spans="1:20" x14ac:dyDescent="0.25">
      <c r="A5" s="61" t="s">
        <v>100</v>
      </c>
      <c r="B5" s="57" t="s">
        <v>110</v>
      </c>
      <c r="C5" s="62" t="s">
        <v>118</v>
      </c>
      <c r="D5" s="62" t="s">
        <v>125</v>
      </c>
      <c r="E5" s="56"/>
      <c r="F5" s="56" t="str" cm="1">
        <f t="array" ref="F5">IFERROR(LOOKUP(2,1/(tblPriceHistory[كود الصنف]=tblItems[[#This Row],[كود الصنف]]),tblPriceHistory[المورد]),"")</f>
        <v/>
      </c>
      <c r="G5" s="59" t="str" cm="1">
        <f t="array" ref="G5">IFERROR(LOOKUP(2,1/(tblPriceHistory[كود الصنف]=tblItems[[#This Row],[كود الصنف]]),tblPriceHistory[سعر الوحدة]),"")</f>
        <v/>
      </c>
      <c r="H5" s="84">
        <f>IFERROR(_xlfn.MAXIFS(tblPriceHistory[التاريخ],tblPriceHistory[كود الصنف],tblItems[[#This Row],[كود الصنف]]),"")</f>
        <v>0</v>
      </c>
      <c r="I5" s="64">
        <f>IFERROR(COUNTIFS(tblPriceHistory[كود الصنف],tblItems[[#This Row],[كود الصنف]]),0)</f>
        <v>0</v>
      </c>
      <c r="J5" s="66">
        <f>IFERROR(SUMIFS(tblPriceHistory[الكمية],tblPriceHistory[كود الصنف],tblItems[[#This Row],[كود الصنف]]),0)</f>
        <v>0</v>
      </c>
      <c r="K5" s="56">
        <f>IFERROR(SUMIFS(tblPriceHistory[السعر النهائي],tblPriceHistory[كود الصنف],tblItems[[#This Row],[كود الصنف]]),0)</f>
        <v>0</v>
      </c>
      <c r="L5" s="56"/>
      <c r="M5" s="56"/>
      <c r="N5" s="56"/>
      <c r="O5" s="56"/>
      <c r="P5" s="56"/>
      <c r="Q5" s="56"/>
      <c r="R5" s="56"/>
      <c r="S5" s="56"/>
      <c r="T5" s="56"/>
    </row>
    <row r="6" spans="1:20" x14ac:dyDescent="0.25">
      <c r="A6" s="61" t="s">
        <v>101</v>
      </c>
      <c r="B6" s="62" t="s">
        <v>111</v>
      </c>
      <c r="C6" s="62" t="s">
        <v>118</v>
      </c>
      <c r="D6" s="62" t="s">
        <v>125</v>
      </c>
      <c r="E6" s="56"/>
      <c r="F6" s="56" t="str" cm="1">
        <f t="array" ref="F6">IFERROR(LOOKUP(2,1/(tblPriceHistory[كود الصنف]=tblItems[[#This Row],[كود الصنف]]),tblPriceHistory[المورد]),"")</f>
        <v/>
      </c>
      <c r="G6" s="59" t="str" cm="1">
        <f t="array" ref="G6">IFERROR(LOOKUP(2,1/(tblPriceHistory[كود الصنف]=tblItems[[#This Row],[كود الصنف]]),tblPriceHistory[سعر الوحدة]),"")</f>
        <v/>
      </c>
      <c r="H6" s="84">
        <f>IFERROR(_xlfn.MAXIFS(tblPriceHistory[التاريخ],tblPriceHistory[كود الصنف],tblItems[[#This Row],[كود الصنف]]),"")</f>
        <v>0</v>
      </c>
      <c r="I6" s="64">
        <f>IFERROR(COUNTIFS(tblPriceHistory[كود الصنف],tblItems[[#This Row],[كود الصنف]]),0)</f>
        <v>0</v>
      </c>
      <c r="J6" s="66">
        <f>IFERROR(SUMIFS(tblPriceHistory[الكمية],tblPriceHistory[كود الصنف],tblItems[[#This Row],[كود الصنف]]),0)</f>
        <v>0</v>
      </c>
      <c r="K6" s="56">
        <f>IFERROR(SUMIFS(tblPriceHistory[السعر النهائي],tblPriceHistory[كود الصنف],tblItems[[#This Row],[كود الصنف]]),0)</f>
        <v>0</v>
      </c>
      <c r="L6" s="56"/>
      <c r="M6" s="56"/>
      <c r="N6" s="56"/>
      <c r="O6" s="56"/>
      <c r="P6" s="56"/>
      <c r="Q6" s="56"/>
      <c r="R6" s="56"/>
      <c r="S6" s="56"/>
      <c r="T6" s="56"/>
    </row>
    <row r="7" spans="1:20" x14ac:dyDescent="0.25">
      <c r="A7" s="61" t="s">
        <v>102</v>
      </c>
      <c r="B7" s="62" t="s">
        <v>112</v>
      </c>
      <c r="C7" s="62" t="s">
        <v>119</v>
      </c>
      <c r="D7" s="62" t="s">
        <v>126</v>
      </c>
      <c r="E7" s="56"/>
      <c r="F7" s="56" t="str" cm="1">
        <f t="array" ref="F7">IFERROR(LOOKUP(2,1/(tblPriceHistory[كود الصنف]=tblItems[[#This Row],[كود الصنف]]),tblPriceHistory[المورد]),"")</f>
        <v/>
      </c>
      <c r="G7" s="59" t="str" cm="1">
        <f t="array" ref="G7">IFERROR(LOOKUP(2,1/(tblPriceHistory[كود الصنف]=tblItems[[#This Row],[كود الصنف]]),tblPriceHistory[سعر الوحدة]),"")</f>
        <v/>
      </c>
      <c r="H7" s="84">
        <f>IFERROR(_xlfn.MAXIFS(tblPriceHistory[التاريخ],tblPriceHistory[كود الصنف],tblItems[[#This Row],[كود الصنف]]),"")</f>
        <v>0</v>
      </c>
      <c r="I7" s="64">
        <f>IFERROR(COUNTIFS(tblPriceHistory[كود الصنف],tblItems[[#This Row],[كود الصنف]]),0)</f>
        <v>0</v>
      </c>
      <c r="J7" s="66">
        <f>IFERROR(SUMIFS(tblPriceHistory[الكمية],tblPriceHistory[كود الصنف],tblItems[[#This Row],[كود الصنف]]),0)</f>
        <v>0</v>
      </c>
      <c r="K7" s="56">
        <f>IFERROR(SUMIFS(tblPriceHistory[السعر النهائي],tblPriceHistory[كود الصنف],tblItems[[#This Row],[كود الصنف]]),0)</f>
        <v>0</v>
      </c>
      <c r="L7" s="56"/>
      <c r="M7" s="56"/>
      <c r="N7" s="56"/>
      <c r="O7" s="56"/>
      <c r="P7" s="56"/>
      <c r="Q7" s="56"/>
      <c r="R7" s="56"/>
      <c r="S7" s="56"/>
      <c r="T7" s="56"/>
    </row>
    <row r="8" spans="1:20" x14ac:dyDescent="0.25">
      <c r="A8" s="61" t="s">
        <v>103</v>
      </c>
      <c r="B8" s="62" t="s">
        <v>113</v>
      </c>
      <c r="C8" s="62" t="s">
        <v>119</v>
      </c>
      <c r="D8" s="62" t="s">
        <v>126</v>
      </c>
      <c r="E8" s="56"/>
      <c r="F8" s="56" t="str" cm="1">
        <f t="array" ref="F8">IFERROR(LOOKUP(2,1/(tblPriceHistory[كود الصنف]=tblItems[[#This Row],[كود الصنف]]),tblPriceHistory[المورد]),"")</f>
        <v/>
      </c>
      <c r="G8" s="59" t="str" cm="1">
        <f t="array" ref="G8">IFERROR(LOOKUP(2,1/(tblPriceHistory[كود الصنف]=tblItems[[#This Row],[كود الصنف]]),tblPriceHistory[سعر الوحدة]),"")</f>
        <v/>
      </c>
      <c r="H8" s="84">
        <f>IFERROR(_xlfn.MAXIFS(tblPriceHistory[التاريخ],tblPriceHistory[كود الصنف],tblItems[[#This Row],[كود الصنف]]),"")</f>
        <v>0</v>
      </c>
      <c r="I8" s="64">
        <f>IFERROR(COUNTIFS(tblPriceHistory[كود الصنف],tblItems[[#This Row],[كود الصنف]]),0)</f>
        <v>0</v>
      </c>
      <c r="J8" s="66">
        <f>IFERROR(SUMIFS(tblPriceHistory[الكمية],tblPriceHistory[كود الصنف],tblItems[[#This Row],[كود الصنف]]),0)</f>
        <v>0</v>
      </c>
      <c r="K8" s="56">
        <f>IFERROR(SUMIFS(tblPriceHistory[السعر النهائي],tblPriceHistory[كود الصنف],tblItems[[#This Row],[كود الصنف]]),0)</f>
        <v>0</v>
      </c>
      <c r="L8" s="56"/>
      <c r="M8" s="56"/>
      <c r="N8" s="56"/>
      <c r="O8" s="56"/>
      <c r="P8" s="56"/>
      <c r="Q8" s="56"/>
      <c r="R8" s="56"/>
      <c r="S8" s="56"/>
      <c r="T8" s="56"/>
    </row>
    <row r="9" spans="1:20" x14ac:dyDescent="0.25">
      <c r="A9" s="61" t="s">
        <v>104</v>
      </c>
      <c r="B9" s="57" t="s">
        <v>114</v>
      </c>
      <c r="C9" s="62" t="s">
        <v>120</v>
      </c>
      <c r="D9" s="57" t="s">
        <v>127</v>
      </c>
      <c r="E9" s="56"/>
      <c r="F9" s="56" t="str" cm="1">
        <f t="array" ref="F9">IFERROR(LOOKUP(2,1/(tblPriceHistory[كود الصنف]=tblItems[[#This Row],[كود الصنف]]),tblPriceHistory[المورد]),"")</f>
        <v/>
      </c>
      <c r="G9" s="59" t="str" cm="1">
        <f t="array" ref="G9">IFERROR(LOOKUP(2,1/(tblPriceHistory[كود الصنف]=tblItems[[#This Row],[كود الصنف]]),tblPriceHistory[سعر الوحدة]),"")</f>
        <v/>
      </c>
      <c r="H9" s="84">
        <f>IFERROR(_xlfn.MAXIFS(tblPriceHistory[التاريخ],tblPriceHistory[كود الصنف],tblItems[[#This Row],[كود الصنف]]),"")</f>
        <v>0</v>
      </c>
      <c r="I9" s="64">
        <f>IFERROR(COUNTIFS(tblPriceHistory[كود الصنف],tblItems[[#This Row],[كود الصنف]]),0)</f>
        <v>0</v>
      </c>
      <c r="J9" s="66">
        <f>IFERROR(SUMIFS(tblPriceHistory[الكمية],tblPriceHistory[كود الصنف],tblItems[[#This Row],[كود الصنف]]),0)</f>
        <v>0</v>
      </c>
      <c r="K9" s="56">
        <f>IFERROR(SUMIFS(tblPriceHistory[السعر النهائي],tblPriceHistory[كود الصنف],tblItems[[#This Row],[كود الصنف]]),0)</f>
        <v>0</v>
      </c>
      <c r="L9" s="56"/>
      <c r="M9" s="56"/>
      <c r="N9" s="56"/>
      <c r="O9" s="56"/>
      <c r="P9" s="56"/>
      <c r="Q9" s="56"/>
      <c r="R9" s="56"/>
      <c r="S9" s="56"/>
      <c r="T9" s="56"/>
    </row>
    <row r="10" spans="1:20" x14ac:dyDescent="0.25">
      <c r="A10" s="61" t="s">
        <v>105</v>
      </c>
      <c r="B10" s="62" t="s">
        <v>116</v>
      </c>
      <c r="C10" s="62" t="s">
        <v>122</v>
      </c>
      <c r="D10" s="62" t="s">
        <v>128</v>
      </c>
      <c r="E10" s="56"/>
      <c r="F10" s="56" t="str" cm="1">
        <f t="array" ref="F10">IFERROR(LOOKUP(2,1/(tblPriceHistory[كود الصنف]=tblItems[[#This Row],[كود الصنف]]),tblPriceHistory[المورد]),"")</f>
        <v/>
      </c>
      <c r="G10" s="59" t="str" cm="1">
        <f t="array" ref="G10">IFERROR(LOOKUP(2,1/(tblPriceHistory[كود الصنف]=tblItems[[#This Row],[كود الصنف]]),tblPriceHistory[سعر الوحدة]),"")</f>
        <v/>
      </c>
      <c r="H10" s="84">
        <f>IFERROR(_xlfn.MAXIFS(tblPriceHistory[التاريخ],tblPriceHistory[كود الصنف],tblItems[[#This Row],[كود الصنف]]),"")</f>
        <v>0</v>
      </c>
      <c r="I10" s="64">
        <f>IFERROR(COUNTIFS(tblPriceHistory[كود الصنف],tblItems[[#This Row],[كود الصنف]]),0)</f>
        <v>0</v>
      </c>
      <c r="J10" s="66">
        <f>IFERROR(SUMIFS(tblPriceHistory[الكمية],tblPriceHistory[كود الصنف],tblItems[[#This Row],[كود الصنف]]),0)</f>
        <v>0</v>
      </c>
      <c r="K10" s="56">
        <f>IFERROR(SUMIFS(tblPriceHistory[السعر النهائي],tblPriceHistory[كود الصنف],tblItems[[#This Row],[كود الصنف]]),0)</f>
        <v>0</v>
      </c>
      <c r="L10" s="56"/>
      <c r="M10" s="56"/>
      <c r="N10" s="56"/>
      <c r="O10" s="56"/>
      <c r="P10" s="56"/>
      <c r="Q10" s="56"/>
      <c r="R10" s="56"/>
      <c r="S10" s="56"/>
      <c r="T10" s="56"/>
    </row>
    <row r="11" spans="1:20" x14ac:dyDescent="0.25">
      <c r="A11" s="61" t="s">
        <v>106</v>
      </c>
      <c r="B11" s="62" t="s">
        <v>115</v>
      </c>
      <c r="C11" s="57" t="s">
        <v>121</v>
      </c>
      <c r="D11" s="57" t="s">
        <v>127</v>
      </c>
      <c r="E11" s="56"/>
      <c r="F11" s="56" t="str" cm="1">
        <f t="array" ref="F11">IFERROR(LOOKUP(2,1/(tblPriceHistory[كود الصنف]=tblItems[[#This Row],[كود الصنف]]),tblPriceHistory[المورد]),"")</f>
        <v/>
      </c>
      <c r="G11" s="59" t="str" cm="1">
        <f t="array" ref="G11">IFERROR(LOOKUP(2,1/(tblPriceHistory[كود الصنف]=tblItems[[#This Row],[كود الصنف]]),tblPriceHistory[سعر الوحدة]),"")</f>
        <v/>
      </c>
      <c r="H11" s="84">
        <f>IFERROR(_xlfn.MAXIFS(tblPriceHistory[التاريخ],tblPriceHistory[كود الصنف],tblItems[[#This Row],[كود الصنف]]),"")</f>
        <v>0</v>
      </c>
      <c r="I11" s="64">
        <f>IFERROR(COUNTIFS(tblPriceHistory[كود الصنف],tblItems[[#This Row],[كود الصنف]]),0)</f>
        <v>0</v>
      </c>
      <c r="J11" s="66">
        <f>IFERROR(SUMIFS(tblPriceHistory[الكمية],tblPriceHistory[كود الصنف],tblItems[[#This Row],[كود الصنف]]),0)</f>
        <v>0</v>
      </c>
      <c r="K11" s="56">
        <f>IFERROR(SUMIFS(tblPriceHistory[السعر النهائي],tblPriceHistory[كود الصنف],tblItems[[#This Row],[كود الصنف]]),0)</f>
        <v>0</v>
      </c>
      <c r="L11" s="56"/>
      <c r="M11" s="56"/>
      <c r="N11" s="56"/>
      <c r="O11" s="56"/>
      <c r="P11" s="56"/>
      <c r="Q11" s="56"/>
      <c r="R11" s="56"/>
      <c r="S11" s="56"/>
      <c r="T11" s="56"/>
    </row>
    <row r="12" spans="1:20" x14ac:dyDescent="0.25">
      <c r="A12" s="61" t="s">
        <v>107</v>
      </c>
      <c r="B12" s="57" t="s">
        <v>117</v>
      </c>
      <c r="C12" s="62" t="s">
        <v>123</v>
      </c>
      <c r="D12" s="57" t="s">
        <v>129</v>
      </c>
      <c r="E12" s="56"/>
      <c r="F12" s="56" t="str" cm="1">
        <f t="array" ref="F12">IFERROR(LOOKUP(2,1/(tblPriceHistory[كود الصنف]=tblItems[[#This Row],[كود الصنف]]),tblPriceHistory[المورد]),"")</f>
        <v/>
      </c>
      <c r="G12" s="59" t="str" cm="1">
        <f t="array" ref="G12">IFERROR(LOOKUP(2,1/(tblPriceHistory[كود الصنف]=tblItems[[#This Row],[كود الصنف]]),tblPriceHistory[سعر الوحدة]),"")</f>
        <v/>
      </c>
      <c r="H12" s="84">
        <f>IFERROR(_xlfn.MAXIFS(tblPriceHistory[التاريخ],tblPriceHistory[كود الصنف],tblItems[[#This Row],[كود الصنف]]),"")</f>
        <v>0</v>
      </c>
      <c r="I12" s="64">
        <f>IFERROR(COUNTIFS(tblPriceHistory[كود الصنف],tblItems[[#This Row],[كود الصنف]]),0)</f>
        <v>0</v>
      </c>
      <c r="J12" s="66">
        <f>IFERROR(SUMIFS(tblPriceHistory[الكمية],tblPriceHistory[كود الصنف],tblItems[[#This Row],[كود الصنف]]),0)</f>
        <v>0</v>
      </c>
      <c r="K12" s="56">
        <f>IFERROR(SUMIFS(tblPriceHistory[السعر النهائي],tblPriceHistory[كود الصنف],tblItems[[#This Row],[كود الصنف]]),0)</f>
        <v>0</v>
      </c>
      <c r="L12" s="56"/>
      <c r="M12" s="56"/>
      <c r="N12" s="56"/>
      <c r="O12" s="56"/>
      <c r="P12" s="56"/>
      <c r="Q12" s="56"/>
      <c r="R12" s="56"/>
      <c r="S12" s="56"/>
      <c r="T12" s="56"/>
    </row>
    <row r="13" spans="1:20" x14ac:dyDescent="0.25">
      <c r="A13" s="61" t="s">
        <v>265</v>
      </c>
      <c r="B13" s="56" t="s">
        <v>275</v>
      </c>
      <c r="C13" s="62" t="s">
        <v>276</v>
      </c>
      <c r="D13" s="79" t="s">
        <v>127</v>
      </c>
      <c r="E13" s="56" t="s">
        <v>277</v>
      </c>
      <c r="F13" s="56" t="str" cm="1">
        <f t="array" ref="F13">IFERROR(LOOKUP(2,1/(tblPriceHistory[كود الصنف]=tblItems[[#This Row],[كود الصنف]]),tblPriceHistory[المورد]),"")</f>
        <v>FOR BED</v>
      </c>
      <c r="G13" s="59" cm="1">
        <f t="array" ref="G13">IFERROR(LOOKUP(2,1/(tblPriceHistory[كود الصنف]=tblItems[[#This Row],[كود الصنف]]),tblPriceHistory[سعر الوحدة]),"")</f>
        <v>10765</v>
      </c>
      <c r="H13" s="84">
        <f>IFERROR(_xlfn.MAXIFS(tblPriceHistory[التاريخ],tblPriceHistory[كود الصنف],tblItems[[#This Row],[كود الصنف]]),"")</f>
        <v>46222</v>
      </c>
      <c r="I13" s="64">
        <f>IFERROR(COUNTIFS(tblPriceHistory[كود الصنف],tblItems[[#This Row],[كود الصنف]]),0)</f>
        <v>1</v>
      </c>
      <c r="J13" s="66">
        <f>IFERROR(SUMIFS(tblPriceHistory[الكمية],tblPriceHistory[كود الصنف],tblItems[[#This Row],[كود الصنف]]),0)</f>
        <v>2</v>
      </c>
      <c r="K13" s="56">
        <f>IFERROR(SUMIFS(tblPriceHistory[السعر النهائي],tblPriceHistory[كود الصنف],tblItems[[#This Row],[كود الصنف]]),0)</f>
        <v>16147.5</v>
      </c>
      <c r="L13" s="56"/>
      <c r="M13" s="56"/>
      <c r="N13" s="56"/>
      <c r="O13" s="56"/>
      <c r="P13" s="56"/>
      <c r="Q13" s="56"/>
      <c r="R13" s="56"/>
      <c r="S13" s="56"/>
      <c r="T13" s="56"/>
    </row>
    <row r="14" spans="1:20" x14ac:dyDescent="0.3">
      <c r="A14" s="61" t="s">
        <v>266</v>
      </c>
      <c r="B14" s="56" t="s">
        <v>278</v>
      </c>
      <c r="C14" s="62" t="s">
        <v>276</v>
      </c>
      <c r="D14" s="79" t="s">
        <v>127</v>
      </c>
      <c r="E14" s="56" t="s">
        <v>279</v>
      </c>
      <c r="F14" s="56" t="str" cm="1">
        <f t="array" ref="F14">IFERROR(LOOKUP(2,1/(tblPriceHistory[كود الصنف]=tblItems[[#This Row],[كود الصنف]]),tblPriceHistory[المورد]),"")</f>
        <v>FOR BED</v>
      </c>
      <c r="G14" s="67" cm="1">
        <f t="array" ref="G14">IFERROR(LOOKUP(2,1/(tblPriceHistory[كود الصنف]=tblItems[[#This Row],[كود الصنف]]),tblPriceHistory[سعر الوحدة]),"")</f>
        <v>14530</v>
      </c>
      <c r="H14" s="84">
        <f>IFERROR(_xlfn.MAXIFS(tblPriceHistory[التاريخ],tblPriceHistory[كود الصنف],tblItems[[#This Row],[كود الصنف]]),"")</f>
        <v>46222</v>
      </c>
      <c r="I14" s="64">
        <f>IFERROR(COUNTIFS(tblPriceHistory[كود الصنف],tblItems[[#This Row],[كود الصنف]]),0)</f>
        <v>1</v>
      </c>
      <c r="J14" s="66">
        <f>IFERROR(SUMIFS(tblPriceHistory[الكمية],tblPriceHistory[كود الصنف],tblItems[[#This Row],[كود الصنف]]),0)</f>
        <v>1</v>
      </c>
      <c r="K14" s="56">
        <f>IFERROR(SUMIFS(tblPriceHistory[السعر النهائي],tblPriceHistory[كود الصنف],tblItems[[#This Row],[كود الصنف]]),0)</f>
        <v>10897.5</v>
      </c>
      <c r="L14" s="56"/>
      <c r="M14" s="56"/>
      <c r="N14" s="56"/>
      <c r="O14" s="56"/>
      <c r="P14" s="56"/>
      <c r="Q14" s="56"/>
      <c r="R14" s="56"/>
      <c r="S14" s="56"/>
      <c r="T14" s="56"/>
    </row>
    <row r="15" spans="1:20" x14ac:dyDescent="0.3">
      <c r="A15" s="61" t="s">
        <v>267</v>
      </c>
      <c r="B15" s="56" t="s">
        <v>282</v>
      </c>
      <c r="C15" s="62" t="s">
        <v>276</v>
      </c>
      <c r="D15" s="79" t="s">
        <v>127</v>
      </c>
      <c r="E15" s="56" t="s">
        <v>280</v>
      </c>
      <c r="F15" s="56" t="str" cm="1">
        <f t="array" ref="F15">IFERROR(LOOKUP(2,1/(tblPriceHistory[كود الصنف]=tblItems[[#This Row],[كود الصنف]]),tblPriceHistory[المورد]),"")</f>
        <v>FOR BED</v>
      </c>
      <c r="G15" s="67" cm="1">
        <f t="array" ref="G15">IFERROR(LOOKUP(2,1/(tblPriceHistory[كود الصنف]=tblItems[[#This Row],[كود الصنف]]),tblPriceHistory[سعر الوحدة]),"")</f>
        <v>560</v>
      </c>
      <c r="H15" s="84">
        <f>IFERROR(_xlfn.MAXIFS(tblPriceHistory[التاريخ],tblPriceHistory[كود الصنف],tblItems[[#This Row],[كود الصنف]]),"")</f>
        <v>46222</v>
      </c>
      <c r="I15" s="64">
        <f>IFERROR(COUNTIFS(tblPriceHistory[كود الصنف],tblItems[[#This Row],[كود الصنف]]),0)</f>
        <v>1</v>
      </c>
      <c r="J15" s="66">
        <f>IFERROR(SUMIFS(tblPriceHistory[الكمية],tblPriceHistory[كود الصنف],tblItems[[#This Row],[كود الصنف]]),0)</f>
        <v>2</v>
      </c>
      <c r="K15" s="56">
        <f>IFERROR(SUMIFS(tblPriceHistory[السعر النهائي],tblPriceHistory[كود الصنف],tblItems[[#This Row],[كود الصنف]]),0)</f>
        <v>1008</v>
      </c>
      <c r="L15" s="56"/>
      <c r="M15" s="56"/>
      <c r="N15" s="56"/>
      <c r="O15" s="56"/>
      <c r="P15" s="56"/>
      <c r="Q15" s="56"/>
      <c r="R15" s="56"/>
      <c r="S15" s="56"/>
      <c r="T15" s="56"/>
    </row>
    <row r="16" spans="1:20" x14ac:dyDescent="0.3">
      <c r="A16" s="61" t="s">
        <v>268</v>
      </c>
      <c r="B16" s="57" t="s">
        <v>281</v>
      </c>
      <c r="C16" s="62" t="s">
        <v>276</v>
      </c>
      <c r="D16" s="57" t="s">
        <v>127</v>
      </c>
      <c r="E16" s="57" t="s">
        <v>283</v>
      </c>
      <c r="F16" s="57" t="str" cm="1">
        <f t="array" ref="F16">IFERROR(LOOKUP(2,1/(tblPriceHistory[كود الصنف]=tblItems[[#This Row],[كود الصنف]]),tblPriceHistory[المورد]),"")</f>
        <v>FOR BED</v>
      </c>
      <c r="G16" s="68" cm="1">
        <f t="array" ref="G16">IFERROR(LOOKUP(2,1/(tblPriceHistory[كود الصنف]=tblItems[[#This Row],[كود الصنف]]),tblPriceHistory[سعر الوحدة]),"")</f>
        <v>755</v>
      </c>
      <c r="H16" s="84">
        <f>IFERROR(_xlfn.MAXIFS(tblPriceHistory[التاريخ],tblPriceHistory[كود الصنف],tblItems[[#This Row],[كود الصنف]]),"")</f>
        <v>46222</v>
      </c>
      <c r="I16" s="64">
        <f>IFERROR(COUNTIFS(tblPriceHistory[كود الصنف],tblItems[[#This Row],[كود الصنف]]),0)</f>
        <v>1</v>
      </c>
      <c r="J16" s="69">
        <f>IFERROR(SUMIFS(tblPriceHistory[الكمية],tblPriceHistory[كود الصنف],tblItems[[#This Row],[كود الصنف]]),0)</f>
        <v>1</v>
      </c>
      <c r="K16" s="57">
        <f>IFERROR(SUMIFS(tblPriceHistory[السعر النهائي],tblPriceHistory[كود الصنف],tblItems[[#This Row],[كود الصنف]]),0)</f>
        <v>679.5</v>
      </c>
    </row>
    <row r="17" spans="1:11" x14ac:dyDescent="0.3">
      <c r="A17" s="61" t="s">
        <v>269</v>
      </c>
      <c r="B17" s="57" t="s">
        <v>284</v>
      </c>
      <c r="C17" s="62" t="s">
        <v>276</v>
      </c>
      <c r="D17" s="57" t="s">
        <v>285</v>
      </c>
      <c r="E17" s="57" t="s">
        <v>286</v>
      </c>
      <c r="F17" s="57" t="str" cm="1">
        <f t="array" ref="F17">IFERROR(LOOKUP(2,1/(tblPriceHistory[كود الصنف]=tblItems[[#This Row],[كود الصنف]]),tblPriceHistory[المورد]),"")</f>
        <v>FOR BED</v>
      </c>
      <c r="G17" s="68" cm="1">
        <f t="array" ref="G17">IFERROR(LOOKUP(2,1/(tblPriceHistory[كود الصنف]=tblItems[[#This Row],[كود الصنف]]),tblPriceHistory[سعر الوحدة]),"")</f>
        <v>225</v>
      </c>
      <c r="H17" s="84">
        <f>IFERROR(_xlfn.MAXIFS(tblPriceHistory[التاريخ],tblPriceHistory[كود الصنف],tblItems[[#This Row],[كود الصنف]]),"")</f>
        <v>46222</v>
      </c>
      <c r="I17" s="64">
        <f>IFERROR(COUNTIFS(tblPriceHistory[كود الصنف],tblItems[[#This Row],[كود الصنف]]),0)</f>
        <v>1</v>
      </c>
      <c r="J17" s="69">
        <f>IFERROR(SUMIFS(tblPriceHistory[الكمية],tblPriceHistory[كود الصنف],tblItems[[#This Row],[كود الصنف]]),0)</f>
        <v>6</v>
      </c>
      <c r="K17" s="57">
        <f>IFERROR(SUMIFS(tblPriceHistory[السعر النهائي],tblPriceHistory[كود الصنف],tblItems[[#This Row],[كود الصنف]]),0)</f>
        <v>1215</v>
      </c>
    </row>
    <row r="18" spans="1:11" x14ac:dyDescent="0.3">
      <c r="A18" s="61" t="s">
        <v>270</v>
      </c>
      <c r="F18" s="57" t="str" cm="1">
        <f t="array" ref="F18">IFERROR(LOOKUP(2,1/(tblPriceHistory[كود الصنف]=tblItems[[#This Row],[كود الصنف]]),tblPriceHistory[المورد]),"")</f>
        <v/>
      </c>
      <c r="G18" s="68" t="str" cm="1">
        <f t="array" ref="G18">IFERROR(LOOKUP(2,1/(tblPriceHistory[كود الصنف]=tblItems[[#This Row],[كود الصنف]]),tblPriceHistory[سعر الوحدة]),"")</f>
        <v/>
      </c>
      <c r="H18" s="84">
        <f>IFERROR(_xlfn.MAXIFS(tblPriceHistory[التاريخ],tblPriceHistory[كود الصنف],tblItems[[#This Row],[كود الصنف]]),"")</f>
        <v>0</v>
      </c>
      <c r="I18" s="64">
        <f>IFERROR(COUNTIFS(tblPriceHistory[كود الصنف],tblItems[[#This Row],[كود الصنف]]),0)</f>
        <v>0</v>
      </c>
      <c r="J18" s="69">
        <f>IFERROR(SUMIFS(tblPriceHistory[الكمية],tblPriceHistory[كود الصنف],tblItems[[#This Row],[كود الصنف]]),0)</f>
        <v>0</v>
      </c>
      <c r="K18" s="57">
        <f>IFERROR(SUMIFS(tblPriceHistory[السعر النهائي],tblPriceHistory[كود الصنف],tblItems[[#This Row],[كود الصنف]]),0)</f>
        <v>0</v>
      </c>
    </row>
    <row r="19" spans="1:11" x14ac:dyDescent="0.3">
      <c r="A19" s="61" t="s">
        <v>271</v>
      </c>
      <c r="F19" s="57" t="str" cm="1">
        <f t="array" ref="F19">IFERROR(LOOKUP(2,1/(tblPriceHistory[كود الصنف]=tblItems[[#This Row],[كود الصنف]]),tblPriceHistory[المورد]),"")</f>
        <v/>
      </c>
      <c r="G19" s="68" t="str" cm="1">
        <f t="array" ref="G19">IFERROR(LOOKUP(2,1/(tblPriceHistory[كود الصنف]=tblItems[[#This Row],[كود الصنف]]),tblPriceHistory[سعر الوحدة]),"")</f>
        <v/>
      </c>
      <c r="H19" s="84">
        <f>IFERROR(_xlfn.MAXIFS(tblPriceHistory[التاريخ],tblPriceHistory[كود الصنف],tblItems[[#This Row],[كود الصنف]]),"")</f>
        <v>0</v>
      </c>
      <c r="I19" s="64">
        <f>IFERROR(COUNTIFS(tblPriceHistory[كود الصنف],tblItems[[#This Row],[كود الصنف]]),0)</f>
        <v>0</v>
      </c>
      <c r="J19" s="69">
        <f>IFERROR(SUMIFS(tblPriceHistory[الكمية],tblPriceHistory[كود الصنف],tblItems[[#This Row],[كود الصنف]]),0)</f>
        <v>0</v>
      </c>
      <c r="K19" s="57">
        <f>IFERROR(SUMIFS(tblPriceHistory[السعر النهائي],tblPriceHistory[كود الصنف],tblItems[[#This Row],[كود الصنف]]),0)</f>
        <v>0</v>
      </c>
    </row>
    <row r="20" spans="1:11" x14ac:dyDescent="0.3">
      <c r="A20" s="61" t="s">
        <v>272</v>
      </c>
      <c r="F20" s="57" t="str" cm="1">
        <f t="array" ref="F20">IFERROR(LOOKUP(2,1/(tblPriceHistory[كود الصنف]=tblItems[[#This Row],[كود الصنف]]),tblPriceHistory[المورد]),"")</f>
        <v/>
      </c>
      <c r="G20" s="68" t="str" cm="1">
        <f t="array" ref="G20">IFERROR(LOOKUP(2,1/(tblPriceHistory[كود الصنف]=tblItems[[#This Row],[كود الصنف]]),tblPriceHistory[سعر الوحدة]),"")</f>
        <v/>
      </c>
      <c r="H20" s="84">
        <f>IFERROR(_xlfn.MAXIFS(tblPriceHistory[التاريخ],tblPriceHistory[كود الصنف],tblItems[[#This Row],[كود الصنف]]),"")</f>
        <v>0</v>
      </c>
      <c r="I20" s="64">
        <f>IFERROR(COUNTIFS(tblPriceHistory[كود الصنف],tblItems[[#This Row],[كود الصنف]]),0)</f>
        <v>0</v>
      </c>
      <c r="J20" s="69">
        <f>IFERROR(SUMIFS(tblPriceHistory[الكمية],tblPriceHistory[كود الصنف],tblItems[[#This Row],[كود الصنف]]),0)</f>
        <v>0</v>
      </c>
      <c r="K20" s="57">
        <f>IFERROR(SUMIFS(tblPriceHistory[السعر النهائي],tblPriceHistory[كود الصنف],tblItems[[#This Row],[كود الصنف]]),0)</f>
        <v>0</v>
      </c>
    </row>
    <row r="21" spans="1:11" x14ac:dyDescent="0.3">
      <c r="A21" s="61" t="s">
        <v>273</v>
      </c>
      <c r="F21" s="57" t="str" cm="1">
        <f t="array" ref="F21">IFERROR(LOOKUP(2,1/(tblPriceHistory[كود الصنف]=tblItems[[#This Row],[كود الصنف]]),tblPriceHistory[المورد]),"")</f>
        <v/>
      </c>
      <c r="G21" s="68" t="str" cm="1">
        <f t="array" ref="G21">IFERROR(LOOKUP(2,1/(tblPriceHistory[كود الصنف]=tblItems[[#This Row],[كود الصنف]]),tblPriceHistory[سعر الوحدة]),"")</f>
        <v/>
      </c>
      <c r="H21" s="84">
        <f>IFERROR(_xlfn.MAXIFS(tblPriceHistory[التاريخ],tblPriceHistory[كود الصنف],tblItems[[#This Row],[كود الصنف]]),"")</f>
        <v>0</v>
      </c>
      <c r="I21" s="64">
        <f>IFERROR(COUNTIFS(tblPriceHistory[كود الصنف],tblItems[[#This Row],[كود الصنف]]),0)</f>
        <v>0</v>
      </c>
      <c r="J21" s="69">
        <f>IFERROR(SUMIFS(tblPriceHistory[الكمية],tblPriceHistory[كود الصنف],tblItems[[#This Row],[كود الصنف]]),0)</f>
        <v>0</v>
      </c>
      <c r="K21" s="57">
        <f>IFERROR(SUMIFS(tblPriceHistory[السعر النهائي],tblPriceHistory[كود الصنف],tblItems[[#This Row],[كود الصنف]]),0)</f>
        <v>0</v>
      </c>
    </row>
    <row r="22" spans="1:11" x14ac:dyDescent="0.3">
      <c r="A22" s="61" t="s">
        <v>274</v>
      </c>
      <c r="F22" s="57" t="str" cm="1">
        <f t="array" ref="F22">IFERROR(LOOKUP(2,1/(tblPriceHistory[كود الصنف]=tblItems[[#This Row],[كود الصنف]]),tblPriceHistory[المورد]),"")</f>
        <v/>
      </c>
      <c r="G22" s="68" t="str" cm="1">
        <f t="array" ref="G22">IFERROR(LOOKUP(2,1/(tblPriceHistory[كود الصنف]=tblItems[[#This Row],[كود الصنف]]),tblPriceHistory[سعر الوحدة]),"")</f>
        <v/>
      </c>
      <c r="H22" s="84">
        <f>IFERROR(_xlfn.MAXIFS(tblPriceHistory[التاريخ],tblPriceHistory[كود الصنف],tblItems[[#This Row],[كود الصنف]]),"")</f>
        <v>0</v>
      </c>
      <c r="I22" s="64">
        <f>IFERROR(COUNTIFS(tblPriceHistory[كود الصنف],tblItems[[#This Row],[كود الصنف]]),0)</f>
        <v>0</v>
      </c>
      <c r="J22" s="69">
        <f>IFERROR(SUMIFS(tblPriceHistory[الكمية],tblPriceHistory[كود الصنف],tblItems[[#This Row],[كود الصنف]]),0)</f>
        <v>0</v>
      </c>
      <c r="K22" s="57">
        <f>IFERROR(SUMIFS(tblPriceHistory[السعر النهائي],tblPriceHistory[كود الصنف],tblItems[[#This Row],[كود الصنف]]),0)</f>
        <v>0</v>
      </c>
    </row>
    <row r="23" spans="1:11" x14ac:dyDescent="0.3">
      <c r="F23" s="57" cm="1">
        <f t="array" ref="F23">IFERROR(LOOKUP(2,1/(tblPriceHistory[كود الصنف]=tblItems[[#This Row],[كود الصنف]]),tblPriceHistory[المورد]),"")</f>
        <v>0</v>
      </c>
      <c r="G23" s="68" cm="1">
        <f t="array" ref="G23">IFERROR(LOOKUP(2,1/(tblPriceHistory[كود الصنف]=tblItems[[#This Row],[كود الصنف]]),tblPriceHistory[سعر الوحدة]),"")</f>
        <v>0</v>
      </c>
      <c r="H23" s="84">
        <f>IFERROR(_xlfn.MAXIFS(tblPriceHistory[التاريخ],tblPriceHistory[كود الصنف],tblItems[[#This Row],[كود الصنف]]),"")</f>
        <v>0</v>
      </c>
      <c r="I23" s="64">
        <f>IFERROR(COUNTIFS(tblPriceHistory[كود الصنف],tblItems[[#This Row],[كود الصنف]]),0)</f>
        <v>0</v>
      </c>
      <c r="J23" s="69">
        <f>IFERROR(SUMIFS(tblPriceHistory[الكمية],tblPriceHistory[كود الصنف],tblItems[[#This Row],[كود الصنف]]),0)</f>
        <v>0</v>
      </c>
      <c r="K23" s="57">
        <f>IFERROR(SUMIFS(tblPriceHistory[السعر النهائي],tblPriceHistory[كود الصنف],tblItems[[#This Row],[كود الصنف]]),0)</f>
        <v>0</v>
      </c>
    </row>
    <row r="24" spans="1:11" x14ac:dyDescent="0.3">
      <c r="F24" s="57" cm="1">
        <f t="array" ref="F24">IFERROR(LOOKUP(2,1/(tblPriceHistory[كود الصنف]=tblItems[[#This Row],[كود الصنف]]),tblPriceHistory[المورد]),"")</f>
        <v>0</v>
      </c>
      <c r="G24" s="68" cm="1">
        <f t="array" ref="G24">IFERROR(LOOKUP(2,1/(tblPriceHistory[كود الصنف]=tblItems[[#This Row],[كود الصنف]]),tblPriceHistory[سعر الوحدة]),"")</f>
        <v>0</v>
      </c>
      <c r="H24" s="84">
        <f>IFERROR(_xlfn.MAXIFS(tblPriceHistory[التاريخ],tblPriceHistory[كود الصنف],tblItems[[#This Row],[كود الصنف]]),"")</f>
        <v>0</v>
      </c>
      <c r="I24" s="64">
        <f>IFERROR(COUNTIFS(tblPriceHistory[كود الصنف],tblItems[[#This Row],[كود الصنف]]),0)</f>
        <v>0</v>
      </c>
      <c r="J24" s="69">
        <f>IFERROR(SUMIFS(tblPriceHistory[الكمية],tblPriceHistory[كود الصنف],tblItems[[#This Row],[كود الصنف]]),0)</f>
        <v>0</v>
      </c>
      <c r="K24" s="57">
        <f>IFERROR(SUMIFS(tblPriceHistory[السعر النهائي],tblPriceHistory[كود الصنف],tblItems[[#This Row],[كود الصنف]]),0)</f>
        <v>0</v>
      </c>
    </row>
    <row r="25" spans="1:11" x14ac:dyDescent="0.3">
      <c r="F25" s="57" cm="1">
        <f t="array" ref="F25">IFERROR(LOOKUP(2,1/(tblPriceHistory[كود الصنف]=tblItems[[#This Row],[كود الصنف]]),tblPriceHistory[المورد]),"")</f>
        <v>0</v>
      </c>
      <c r="G25" s="68" cm="1">
        <f t="array" ref="G25">IFERROR(LOOKUP(2,1/(tblPriceHistory[كود الصنف]=tblItems[[#This Row],[كود الصنف]]),tblPriceHistory[سعر الوحدة]),"")</f>
        <v>0</v>
      </c>
      <c r="H25" s="84">
        <f>IFERROR(_xlfn.MAXIFS(tblPriceHistory[التاريخ],tblPriceHistory[كود الصنف],tblItems[[#This Row],[كود الصنف]]),"")</f>
        <v>0</v>
      </c>
      <c r="I25" s="64">
        <f>IFERROR(COUNTIFS(tblPriceHistory[كود الصنف],tblItems[[#This Row],[كود الصنف]]),0)</f>
        <v>0</v>
      </c>
      <c r="J25" s="69">
        <f>IFERROR(SUMIFS(tblPriceHistory[الكمية],tblPriceHistory[كود الصنف],tblItems[[#This Row],[كود الصنف]]),0)</f>
        <v>0</v>
      </c>
      <c r="K25" s="57">
        <f>IFERROR(SUMIFS(tblPriceHistory[السعر النهائي],tblPriceHistory[كود الصنف],tblItems[[#This Row],[كود الصنف]]),0)</f>
        <v>0</v>
      </c>
    </row>
    <row r="26" spans="1:11" x14ac:dyDescent="0.3">
      <c r="F26" s="57" cm="1">
        <f t="array" ref="F26">IFERROR(LOOKUP(2,1/(tblPriceHistory[كود الصنف]=tblItems[[#This Row],[كود الصنف]]),tblPriceHistory[المورد]),"")</f>
        <v>0</v>
      </c>
      <c r="G26" s="68" cm="1">
        <f t="array" ref="G26">IFERROR(LOOKUP(2,1/(tblPriceHistory[كود الصنف]=tblItems[[#This Row],[كود الصنف]]),tblPriceHistory[سعر الوحدة]),"")</f>
        <v>0</v>
      </c>
      <c r="H26" s="84">
        <f>IFERROR(_xlfn.MAXIFS(tblPriceHistory[التاريخ],tblPriceHistory[كود الصنف],tblItems[[#This Row],[كود الصنف]]),"")</f>
        <v>0</v>
      </c>
      <c r="I26" s="64">
        <f>IFERROR(COUNTIFS(tblPriceHistory[كود الصنف],tblItems[[#This Row],[كود الصنف]]),0)</f>
        <v>0</v>
      </c>
      <c r="J26" s="69">
        <f>IFERROR(SUMIFS(tblPriceHistory[الكمية],tblPriceHistory[كود الصنف],tblItems[[#This Row],[كود الصنف]]),0)</f>
        <v>0</v>
      </c>
      <c r="K26" s="57">
        <f>IFERROR(SUMIFS(tblPriceHistory[السعر النهائي],tblPriceHistory[كود الصنف],tblItems[[#This Row],[كود الصنف]]),0)</f>
        <v>0</v>
      </c>
    </row>
    <row r="27" spans="1:11" x14ac:dyDescent="0.3">
      <c r="F27" s="57" cm="1">
        <f t="array" ref="F27">IFERROR(LOOKUP(2,1/(tblPriceHistory[كود الصنف]=tblItems[[#This Row],[كود الصنف]]),tblPriceHistory[المورد]),"")</f>
        <v>0</v>
      </c>
      <c r="G27" s="68" cm="1">
        <f t="array" ref="G27">IFERROR(LOOKUP(2,1/(tblPriceHistory[كود الصنف]=tblItems[[#This Row],[كود الصنف]]),tblPriceHistory[سعر الوحدة]),"")</f>
        <v>0</v>
      </c>
      <c r="H27" s="84">
        <f>IFERROR(_xlfn.MAXIFS(tblPriceHistory[التاريخ],tblPriceHistory[كود الصنف],tblItems[[#This Row],[كود الصنف]]),"")</f>
        <v>0</v>
      </c>
      <c r="I27" s="64">
        <f>IFERROR(COUNTIFS(tblPriceHistory[كود الصنف],tblItems[[#This Row],[كود الصنف]]),0)</f>
        <v>0</v>
      </c>
      <c r="J27" s="69">
        <f>IFERROR(SUMIFS(tblPriceHistory[الكمية],tblPriceHistory[كود الصنف],tblItems[[#This Row],[كود الصنف]]),0)</f>
        <v>0</v>
      </c>
      <c r="K27" s="57">
        <f>IFERROR(SUMIFS(tblPriceHistory[السعر النهائي],tblPriceHistory[كود الصنف],tblItems[[#This Row],[كود الصنف]]),0)</f>
        <v>0</v>
      </c>
    </row>
  </sheetData>
  <sheetProtection formatCells="0" formatColumns="0" formatRows="0" sort="0" autoFilter="0"/>
  <mergeCells count="1">
    <mergeCell ref="A1:L1"/>
  </mergeCells>
  <phoneticPr fontId="10" type="noConversion"/>
  <pageMargins left="0.7" right="0.7" top="0.75" bottom="0.75" header="0.3" footer="0.3"/>
  <pageSetup scale="59" orientation="portrait" r:id="rId1"/>
  <colBreaks count="2" manualBreakCount="2">
    <brk id="6" max="26" man="1"/>
    <brk id="12" max="1048575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4" tint="0.79998168889431442"/>
  </sheetPr>
  <dimension ref="A1:T15"/>
  <sheetViews>
    <sheetView rightToLeft="1" view="pageBreakPreview" zoomScaleNormal="100" zoomScaleSheetLayoutView="100" workbookViewId="0">
      <pane ySplit="2" topLeftCell="A3" activePane="bottomLeft" state="frozen"/>
      <selection pane="bottomLeft" activeCell="I4" sqref="I4"/>
    </sheetView>
  </sheetViews>
  <sheetFormatPr defaultRowHeight="13.8" x14ac:dyDescent="0.25"/>
  <cols>
    <col min="1" max="2" width="16" style="1" customWidth="1"/>
    <col min="3" max="3" width="19" style="1" customWidth="1"/>
    <col min="4" max="5" width="16" style="1" customWidth="1"/>
    <col min="6" max="6" width="23" style="1" customWidth="1"/>
    <col min="7" max="11" width="16" style="1" customWidth="1"/>
  </cols>
  <sheetData>
    <row r="1" spans="1:20" ht="21" x14ac:dyDescent="0.25">
      <c r="A1" s="130" t="s">
        <v>59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9"/>
      <c r="M1" s="9"/>
      <c r="N1" s="9"/>
      <c r="O1" s="9"/>
      <c r="P1" s="9"/>
      <c r="Q1" s="9"/>
      <c r="R1" s="9"/>
      <c r="S1" s="9"/>
      <c r="T1" s="9"/>
    </row>
    <row r="2" spans="1:20" x14ac:dyDescent="0.25">
      <c r="A2" s="6" t="s">
        <v>25</v>
      </c>
      <c r="B2" s="6" t="s">
        <v>24</v>
      </c>
      <c r="C2" s="6" t="s">
        <v>14</v>
      </c>
      <c r="D2" s="13" t="s">
        <v>15</v>
      </c>
      <c r="E2" s="6" t="s">
        <v>42</v>
      </c>
      <c r="F2" s="6" t="s">
        <v>16</v>
      </c>
      <c r="G2" s="6" t="s">
        <v>28</v>
      </c>
      <c r="H2" s="6" t="s">
        <v>27</v>
      </c>
      <c r="I2" s="6" t="s">
        <v>41</v>
      </c>
      <c r="J2" s="13" t="s">
        <v>44</v>
      </c>
      <c r="K2" s="6" t="s">
        <v>45</v>
      </c>
      <c r="L2" s="9"/>
      <c r="M2" s="9"/>
      <c r="N2" s="9"/>
      <c r="O2" s="9"/>
      <c r="P2" s="9"/>
      <c r="Q2" s="9"/>
      <c r="R2" s="9"/>
      <c r="S2" s="9"/>
      <c r="T2" s="9"/>
    </row>
    <row r="3" spans="1:20" x14ac:dyDescent="0.25">
      <c r="A3" s="14" t="s">
        <v>167</v>
      </c>
      <c r="B3" s="14" t="s">
        <v>168</v>
      </c>
      <c r="C3" s="14" t="s">
        <v>157</v>
      </c>
      <c r="D3" s="49" t="s">
        <v>94</v>
      </c>
      <c r="E3" s="49" t="s">
        <v>94</v>
      </c>
      <c r="F3" s="50" t="s">
        <v>160</v>
      </c>
      <c r="G3" s="14" t="s">
        <v>159</v>
      </c>
      <c r="H3" s="14" t="s">
        <v>169</v>
      </c>
      <c r="I3" s="14" t="s">
        <v>170</v>
      </c>
      <c r="J3" s="14" t="s">
        <v>166</v>
      </c>
      <c r="K3" s="10"/>
      <c r="L3" s="9"/>
      <c r="M3" s="9"/>
      <c r="N3" s="9"/>
      <c r="O3" s="9"/>
      <c r="P3" s="9"/>
      <c r="Q3" s="9"/>
      <c r="R3" s="9"/>
      <c r="S3" s="9"/>
      <c r="T3" s="9"/>
    </row>
    <row r="4" spans="1:20" x14ac:dyDescent="0.25">
      <c r="A4" s="14" t="s">
        <v>304</v>
      </c>
      <c r="B4" s="112" t="s">
        <v>300</v>
      </c>
      <c r="C4" s="112" t="s">
        <v>157</v>
      </c>
      <c r="D4" s="49" t="s">
        <v>94</v>
      </c>
      <c r="E4" s="49" t="s">
        <v>94</v>
      </c>
      <c r="F4" s="50" t="s">
        <v>316</v>
      </c>
      <c r="G4" s="14" t="s">
        <v>159</v>
      </c>
      <c r="H4" s="112" t="s">
        <v>223</v>
      </c>
      <c r="I4" s="112" t="s">
        <v>155</v>
      </c>
      <c r="J4" s="112" t="s">
        <v>317</v>
      </c>
      <c r="K4" s="9"/>
      <c r="L4" s="9"/>
      <c r="M4" s="9"/>
      <c r="N4" s="9"/>
      <c r="O4" s="9"/>
      <c r="P4" s="9"/>
      <c r="Q4" s="9"/>
      <c r="R4" s="9"/>
      <c r="S4" s="9"/>
      <c r="T4" s="9"/>
    </row>
    <row r="5" spans="1:20" x14ac:dyDescent="0.25">
      <c r="A5" s="14" t="s">
        <v>305</v>
      </c>
      <c r="B5" s="9"/>
      <c r="C5" s="9"/>
      <c r="D5" s="9"/>
      <c r="E5" s="9"/>
      <c r="F5" s="114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 x14ac:dyDescent="0.25">
      <c r="A6" s="14" t="s">
        <v>306</v>
      </c>
      <c r="B6" s="9"/>
      <c r="C6" s="9"/>
      <c r="D6" s="9"/>
      <c r="E6" s="9"/>
      <c r="F6" s="114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</row>
    <row r="7" spans="1:20" x14ac:dyDescent="0.25">
      <c r="A7" s="14" t="s">
        <v>307</v>
      </c>
      <c r="B7" s="9"/>
      <c r="C7" s="9"/>
      <c r="D7" s="9"/>
      <c r="E7" s="9"/>
      <c r="F7" s="114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</row>
    <row r="8" spans="1:20" x14ac:dyDescent="0.25">
      <c r="A8" s="14" t="s">
        <v>308</v>
      </c>
      <c r="B8" s="9"/>
      <c r="C8" s="9"/>
      <c r="D8" s="9"/>
      <c r="E8" s="9"/>
      <c r="F8" s="114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</row>
    <row r="9" spans="1:20" x14ac:dyDescent="0.25">
      <c r="A9" s="14" t="s">
        <v>309</v>
      </c>
      <c r="B9" s="9"/>
      <c r="C9" s="9"/>
      <c r="D9" s="9"/>
      <c r="E9" s="9"/>
      <c r="F9" s="114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</row>
    <row r="10" spans="1:20" x14ac:dyDescent="0.25">
      <c r="A10" s="14" t="s">
        <v>310</v>
      </c>
      <c r="B10" s="9"/>
      <c r="C10" s="9"/>
      <c r="D10" s="9"/>
      <c r="E10" s="9"/>
      <c r="F10" s="114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</row>
    <row r="11" spans="1:20" x14ac:dyDescent="0.25">
      <c r="A11" s="14" t="s">
        <v>311</v>
      </c>
      <c r="B11" s="9"/>
      <c r="C11" s="9"/>
      <c r="D11" s="9"/>
      <c r="E11" s="9"/>
      <c r="F11" s="114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</row>
    <row r="12" spans="1:20" x14ac:dyDescent="0.25">
      <c r="A12" s="14" t="s">
        <v>312</v>
      </c>
      <c r="B12" s="9"/>
      <c r="C12" s="9"/>
      <c r="D12" s="9"/>
      <c r="E12" s="9"/>
      <c r="F12" s="114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</row>
    <row r="13" spans="1:20" x14ac:dyDescent="0.25">
      <c r="A13" s="14" t="s">
        <v>313</v>
      </c>
      <c r="B13" s="9"/>
      <c r="C13" s="9"/>
      <c r="D13" s="9"/>
      <c r="E13" s="9"/>
      <c r="F13" s="114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</row>
    <row r="14" spans="1:20" x14ac:dyDescent="0.25">
      <c r="A14" s="14" t="s">
        <v>314</v>
      </c>
      <c r="B14" s="9"/>
      <c r="C14" s="9"/>
      <c r="D14" s="9"/>
      <c r="E14" s="9"/>
      <c r="F14" s="114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</row>
    <row r="15" spans="1:20" x14ac:dyDescent="0.25">
      <c r="A15" s="14" t="s">
        <v>315</v>
      </c>
      <c r="B15" s="9"/>
      <c r="C15" s="9"/>
      <c r="D15" s="9"/>
      <c r="E15" s="9"/>
      <c r="F15" s="114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</row>
  </sheetData>
  <mergeCells count="1">
    <mergeCell ref="A1:K1"/>
  </mergeCells>
  <phoneticPr fontId="10" type="noConversion"/>
  <hyperlinks>
    <hyperlink ref="F3" r:id="rId1" xr:uid="{0DC814B8-03CB-4318-8AA4-87AE477BD437}"/>
    <hyperlink ref="F4" r:id="rId2" xr:uid="{52D88B98-8140-42C5-82C6-829A5709376A}"/>
  </hyperlinks>
  <pageMargins left="0.7" right="0.7" top="0.75" bottom="0.75" header="0.3" footer="0.3"/>
  <pageSetup scale="85" orientation="portrait" r:id="rId3"/>
  <colBreaks count="1" manualBreakCount="1">
    <brk id="6" max="1048575" man="1"/>
  </colBreaks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C00000"/>
  </sheetPr>
  <dimension ref="A4:T37"/>
  <sheetViews>
    <sheetView rightToLeft="1" view="pageBreakPreview" zoomScale="102" zoomScaleNormal="100" zoomScaleSheetLayoutView="102" workbookViewId="0">
      <selection activeCell="J7" sqref="J7"/>
    </sheetView>
  </sheetViews>
  <sheetFormatPr defaultRowHeight="15" x14ac:dyDescent="0.25"/>
  <cols>
    <col min="1" max="1" width="12.09765625" style="76" bestFit="1" customWidth="1"/>
    <col min="2" max="2" width="15.8984375" style="76" bestFit="1" customWidth="1"/>
    <col min="3" max="16384" width="8.796875" style="76"/>
  </cols>
  <sheetData>
    <row r="4" spans="1:20" ht="13.8" customHeight="1" x14ac:dyDescent="0.25">
      <c r="A4" s="138">
        <f>SUM(tblPurchaseRegister[إجمالي الفاتورة])</f>
        <v>29947.5</v>
      </c>
      <c r="B4" s="138"/>
      <c r="C4" s="138"/>
      <c r="D4" s="138"/>
      <c r="E4" s="138"/>
      <c r="G4" s="137">
        <f>COUNTA(tblSuppliers[اسم المورد])</f>
        <v>18</v>
      </c>
      <c r="H4" s="137"/>
      <c r="I4" s="137"/>
      <c r="J4" s="137"/>
      <c r="L4" s="134">
        <f>COUNTA(tblItems[اسم الصنف])</f>
        <v>15</v>
      </c>
      <c r="M4" s="134"/>
      <c r="N4" s="134"/>
      <c r="O4" s="134"/>
      <c r="Q4" s="136">
        <f>COUNTA(tblCustomers[اسم العميل])</f>
        <v>2</v>
      </c>
      <c r="R4" s="136"/>
      <c r="S4" s="136"/>
      <c r="T4" s="136"/>
    </row>
    <row r="5" spans="1:20" ht="13.8" customHeight="1" x14ac:dyDescent="0.25">
      <c r="A5" s="138"/>
      <c r="B5" s="138"/>
      <c r="C5" s="138"/>
      <c r="D5" s="138"/>
      <c r="E5" s="138"/>
      <c r="G5" s="137"/>
      <c r="H5" s="137"/>
      <c r="I5" s="137"/>
      <c r="J5" s="137"/>
      <c r="L5" s="134"/>
      <c r="M5" s="134"/>
      <c r="N5" s="134"/>
      <c r="O5" s="134"/>
      <c r="Q5" s="136"/>
      <c r="R5" s="136"/>
      <c r="S5" s="136"/>
      <c r="T5" s="136"/>
    </row>
    <row r="6" spans="1:20" ht="13.8" customHeight="1" x14ac:dyDescent="0.25">
      <c r="A6" s="138"/>
      <c r="B6" s="138"/>
      <c r="C6" s="138"/>
      <c r="D6" s="138"/>
      <c r="E6" s="138"/>
      <c r="G6" s="137"/>
      <c r="H6" s="137"/>
      <c r="I6" s="137"/>
      <c r="J6" s="137"/>
      <c r="L6" s="135"/>
      <c r="M6" s="135"/>
      <c r="N6" s="135"/>
      <c r="O6" s="135"/>
    </row>
    <row r="7" spans="1:20" ht="13.8" customHeight="1" x14ac:dyDescent="0.25">
      <c r="A7" s="77"/>
      <c r="B7" s="77"/>
      <c r="C7" s="77"/>
      <c r="D7" s="77"/>
      <c r="E7" s="77"/>
    </row>
    <row r="10" spans="1:20" x14ac:dyDescent="0.25">
      <c r="A10" s="134">
        <f>COUNTA(tblPurchaseRegister[رقم العملية])</f>
        <v>1</v>
      </c>
      <c r="B10" s="134"/>
      <c r="C10" s="134"/>
      <c r="D10" s="134"/>
      <c r="E10" s="134"/>
      <c r="G10" s="134">
        <f>SUM(tblPayments[المبلغ المدفوع])</f>
        <v>29947.5</v>
      </c>
      <c r="H10" s="134"/>
      <c r="I10" s="134"/>
      <c r="J10" s="134"/>
      <c r="L10" s="134">
        <f>SUM(tblPayments[المتبقي])</f>
        <v>0</v>
      </c>
      <c r="M10" s="134"/>
      <c r="N10" s="134"/>
      <c r="O10" s="134"/>
      <c r="Q10" s="136">
        <f>COUNTA(tblProjects[اسم المشروع])</f>
        <v>2</v>
      </c>
      <c r="R10" s="136"/>
      <c r="S10" s="136"/>
      <c r="T10" s="136"/>
    </row>
    <row r="11" spans="1:20" x14ac:dyDescent="0.25">
      <c r="A11" s="135"/>
      <c r="B11" s="135"/>
      <c r="C11" s="135"/>
      <c r="D11" s="135"/>
      <c r="E11" s="135"/>
      <c r="G11" s="135"/>
      <c r="H11" s="135"/>
      <c r="I11" s="135"/>
      <c r="J11" s="135"/>
      <c r="L11" s="135"/>
      <c r="M11" s="135"/>
      <c r="N11" s="135"/>
      <c r="O11" s="135"/>
      <c r="Q11" s="136"/>
      <c r="R11" s="136"/>
      <c r="S11" s="136"/>
      <c r="T11" s="136"/>
    </row>
    <row r="12" spans="1:20" x14ac:dyDescent="0.25">
      <c r="A12" s="78"/>
      <c r="B12" s="78"/>
      <c r="C12" s="78"/>
      <c r="D12" s="78"/>
      <c r="E12" s="78"/>
    </row>
    <row r="15" spans="1:20" x14ac:dyDescent="0.25">
      <c r="A15" s="136"/>
      <c r="B15" s="136"/>
      <c r="C15" s="136"/>
      <c r="D15" s="136"/>
      <c r="E15" s="136"/>
      <c r="G15" s="136"/>
      <c r="H15" s="136"/>
      <c r="I15" s="136"/>
      <c r="J15" s="136"/>
    </row>
    <row r="16" spans="1:20" x14ac:dyDescent="0.25">
      <c r="A16" s="136"/>
      <c r="B16" s="136"/>
      <c r="C16" s="136"/>
      <c r="D16" s="136"/>
      <c r="E16" s="136"/>
      <c r="G16" s="136"/>
      <c r="H16" s="136"/>
      <c r="I16" s="136"/>
      <c r="J16" s="136"/>
    </row>
    <row r="20" spans="1:3" x14ac:dyDescent="0.25">
      <c r="A20" s="80" t="s">
        <v>184</v>
      </c>
      <c r="B20" t="s">
        <v>183</v>
      </c>
      <c r="C20"/>
    </row>
    <row r="21" spans="1:3" x14ac:dyDescent="0.25">
      <c r="A21" s="81" t="s">
        <v>92</v>
      </c>
      <c r="B21" s="82">
        <v>2166</v>
      </c>
      <c r="C21"/>
    </row>
    <row r="22" spans="1:3" x14ac:dyDescent="0.25">
      <c r="A22" s="81" t="s">
        <v>181</v>
      </c>
      <c r="B22" s="82"/>
      <c r="C22"/>
    </row>
    <row r="23" spans="1:3" x14ac:dyDescent="0.25">
      <c r="A23" s="81" t="s">
        <v>182</v>
      </c>
      <c r="B23" s="82">
        <v>2166</v>
      </c>
      <c r="C23"/>
    </row>
    <row r="24" spans="1:3" x14ac:dyDescent="0.25">
      <c r="A24"/>
      <c r="B24"/>
      <c r="C24"/>
    </row>
    <row r="25" spans="1:3" x14ac:dyDescent="0.25">
      <c r="A25"/>
      <c r="B25"/>
      <c r="C25"/>
    </row>
    <row r="26" spans="1:3" x14ac:dyDescent="0.25">
      <c r="A26"/>
      <c r="B26"/>
      <c r="C26"/>
    </row>
    <row r="27" spans="1:3" x14ac:dyDescent="0.25">
      <c r="A27"/>
      <c r="B27"/>
      <c r="C27"/>
    </row>
    <row r="28" spans="1:3" x14ac:dyDescent="0.25">
      <c r="A28"/>
      <c r="B28"/>
      <c r="C28"/>
    </row>
    <row r="29" spans="1:3" x14ac:dyDescent="0.25">
      <c r="A29"/>
      <c r="B29"/>
      <c r="C29"/>
    </row>
    <row r="30" spans="1:3" x14ac:dyDescent="0.25">
      <c r="A30"/>
      <c r="B30"/>
      <c r="C30"/>
    </row>
    <row r="31" spans="1:3" x14ac:dyDescent="0.25">
      <c r="A31"/>
      <c r="B31"/>
      <c r="C31"/>
    </row>
    <row r="32" spans="1:3" x14ac:dyDescent="0.25">
      <c r="A32"/>
      <c r="B32"/>
      <c r="C32"/>
    </row>
    <row r="33" spans="1:3" x14ac:dyDescent="0.25">
      <c r="A33"/>
      <c r="B33"/>
      <c r="C33"/>
    </row>
    <row r="34" spans="1:3" x14ac:dyDescent="0.25">
      <c r="A34"/>
      <c r="B34"/>
      <c r="C34"/>
    </row>
    <row r="35" spans="1:3" x14ac:dyDescent="0.25">
      <c r="A35"/>
      <c r="B35"/>
      <c r="C35"/>
    </row>
    <row r="36" spans="1:3" x14ac:dyDescent="0.25">
      <c r="A36"/>
      <c r="B36"/>
      <c r="C36"/>
    </row>
    <row r="37" spans="1:3" x14ac:dyDescent="0.25">
      <c r="A37"/>
      <c r="B37"/>
      <c r="C37"/>
    </row>
  </sheetData>
  <mergeCells count="10">
    <mergeCell ref="Q10:T11"/>
    <mergeCell ref="Q4:T5"/>
    <mergeCell ref="L4:O6"/>
    <mergeCell ref="L10:O11"/>
    <mergeCell ref="G10:J11"/>
    <mergeCell ref="A10:E11"/>
    <mergeCell ref="G15:J16"/>
    <mergeCell ref="A15:E16"/>
    <mergeCell ref="G4:J6"/>
    <mergeCell ref="A4:E6"/>
  </mergeCells>
  <pageMargins left="0.7" right="0.7" top="0.75" bottom="0.75" header="0.3" footer="0.3"/>
  <pageSetup scale="44" orientation="portrait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C00000"/>
  </sheetPr>
  <dimension ref="A1:M10"/>
  <sheetViews>
    <sheetView rightToLeft="1" zoomScale="85" zoomScaleNormal="85" workbookViewId="0">
      <pane ySplit="1" topLeftCell="A2" activePane="bottomLeft" state="frozen"/>
      <selection pane="bottomLeft" activeCell="F15" sqref="F15"/>
    </sheetView>
  </sheetViews>
  <sheetFormatPr defaultRowHeight="20.399999999999999" x14ac:dyDescent="0.35"/>
  <cols>
    <col min="1" max="1" width="20.69921875" style="1" customWidth="1"/>
    <col min="2" max="2" width="19.8984375" style="1" bestFit="1" customWidth="1"/>
    <col min="3" max="3" width="13.69921875" bestFit="1" customWidth="1"/>
    <col min="4" max="4" width="12.19921875" style="1" bestFit="1" customWidth="1"/>
    <col min="5" max="5" width="28" style="74" bestFit="1" customWidth="1"/>
    <col min="6" max="6" width="9" bestFit="1" customWidth="1"/>
    <col min="7" max="7" width="8.5" style="1" customWidth="1"/>
    <col min="8" max="8" width="22.5" style="1" customWidth="1"/>
    <col min="9" max="9" width="18.19921875" style="1" customWidth="1"/>
    <col min="10" max="10" width="19.3984375" style="4" customWidth="1"/>
    <col min="11" max="11" width="10.796875" style="4" customWidth="1"/>
    <col min="12" max="12" width="18.3984375" style="4" customWidth="1"/>
    <col min="13" max="13" width="16" style="1" customWidth="1"/>
  </cols>
  <sheetData>
    <row r="1" spans="1:13" s="3" customFormat="1" ht="21" x14ac:dyDescent="0.4">
      <c r="A1" s="3" t="s">
        <v>60</v>
      </c>
      <c r="B1" s="3" t="s">
        <v>61</v>
      </c>
      <c r="C1" s="3" t="s">
        <v>62</v>
      </c>
      <c r="D1" s="3" t="s">
        <v>62</v>
      </c>
      <c r="E1" s="72" t="s">
        <v>178</v>
      </c>
      <c r="F1" s="3" t="s">
        <v>63</v>
      </c>
      <c r="G1" s="3" t="s">
        <v>64</v>
      </c>
      <c r="H1" s="3" t="s">
        <v>65</v>
      </c>
      <c r="I1" s="3" t="s">
        <v>66</v>
      </c>
      <c r="J1" s="3" t="s">
        <v>67</v>
      </c>
      <c r="K1" s="3" t="s">
        <v>68</v>
      </c>
      <c r="L1" s="3" t="s">
        <v>69</v>
      </c>
      <c r="M1" s="12" t="s">
        <v>70</v>
      </c>
    </row>
    <row r="2" spans="1:13" ht="21" x14ac:dyDescent="0.25">
      <c r="A2" s="7" t="s">
        <v>71</v>
      </c>
      <c r="B2" s="7" t="s">
        <v>351</v>
      </c>
      <c r="C2" s="7" t="s">
        <v>72</v>
      </c>
      <c r="D2" s="7" t="s">
        <v>71</v>
      </c>
      <c r="E2" s="73" t="s">
        <v>180</v>
      </c>
      <c r="F2" s="8">
        <v>0</v>
      </c>
      <c r="G2" s="7" t="s">
        <v>359</v>
      </c>
      <c r="H2" s="7" t="s">
        <v>364</v>
      </c>
      <c r="I2" s="7" t="s">
        <v>369</v>
      </c>
      <c r="J2" s="7" t="s">
        <v>71</v>
      </c>
      <c r="K2" s="7" t="s">
        <v>73</v>
      </c>
      <c r="L2" s="7" t="s">
        <v>74</v>
      </c>
      <c r="M2" s="5" t="s">
        <v>75</v>
      </c>
    </row>
    <row r="3" spans="1:13" ht="21" x14ac:dyDescent="0.25">
      <c r="A3" s="7" t="s">
        <v>348</v>
      </c>
      <c r="B3" s="7" t="s">
        <v>352</v>
      </c>
      <c r="C3" s="7" t="s">
        <v>355</v>
      </c>
      <c r="D3" s="7" t="s">
        <v>348</v>
      </c>
      <c r="E3" s="73" t="s">
        <v>345</v>
      </c>
      <c r="F3" s="8">
        <v>0.14000000000000001</v>
      </c>
      <c r="G3" s="7" t="s">
        <v>360</v>
      </c>
      <c r="H3" s="7" t="s">
        <v>365</v>
      </c>
      <c r="I3" s="7" t="s">
        <v>370</v>
      </c>
      <c r="J3" s="7" t="s">
        <v>76</v>
      </c>
      <c r="K3" s="7" t="s">
        <v>77</v>
      </c>
      <c r="L3" s="7" t="s">
        <v>78</v>
      </c>
      <c r="M3" s="5" t="s">
        <v>79</v>
      </c>
    </row>
    <row r="4" spans="1:13" ht="21" x14ac:dyDescent="0.25">
      <c r="A4" s="7" t="s">
        <v>349</v>
      </c>
      <c r="B4" s="7" t="s">
        <v>353</v>
      </c>
      <c r="C4" s="7" t="s">
        <v>356</v>
      </c>
      <c r="D4" s="7" t="s">
        <v>349</v>
      </c>
      <c r="E4" s="73" t="s">
        <v>346</v>
      </c>
      <c r="G4" s="7" t="s">
        <v>361</v>
      </c>
      <c r="H4" s="7" t="s">
        <v>366</v>
      </c>
      <c r="I4" s="7" t="s">
        <v>350</v>
      </c>
      <c r="J4" s="7" t="s">
        <v>80</v>
      </c>
      <c r="K4" s="7" t="s">
        <v>81</v>
      </c>
      <c r="L4" s="7" t="s">
        <v>82</v>
      </c>
    </row>
    <row r="5" spans="1:13" x14ac:dyDescent="0.3">
      <c r="A5" s="7" t="s">
        <v>350</v>
      </c>
      <c r="B5" s="7" t="s">
        <v>354</v>
      </c>
      <c r="C5" s="7" t="s">
        <v>357</v>
      </c>
      <c r="D5" s="7" t="s">
        <v>350</v>
      </c>
      <c r="E5" s="73" t="s">
        <v>179</v>
      </c>
      <c r="G5" s="7" t="s">
        <v>362</v>
      </c>
      <c r="H5" s="7" t="s">
        <v>367</v>
      </c>
      <c r="I5" s="7" t="s">
        <v>371</v>
      </c>
      <c r="J5" s="7" t="s">
        <v>83</v>
      </c>
      <c r="K5" s="7" t="s">
        <v>84</v>
      </c>
    </row>
    <row r="6" spans="1:13" x14ac:dyDescent="0.35">
      <c r="A6" s="7" t="s">
        <v>85</v>
      </c>
      <c r="C6" s="7" t="s">
        <v>358</v>
      </c>
      <c r="D6" s="7" t="s">
        <v>85</v>
      </c>
      <c r="E6" s="75" t="s">
        <v>347</v>
      </c>
      <c r="G6" s="7" t="s">
        <v>363</v>
      </c>
      <c r="H6" s="7" t="s">
        <v>368</v>
      </c>
      <c r="I6" s="7" t="s">
        <v>85</v>
      </c>
      <c r="J6" s="7" t="s">
        <v>85</v>
      </c>
    </row>
    <row r="7" spans="1:13" x14ac:dyDescent="0.35">
      <c r="G7" s="7" t="s">
        <v>86</v>
      </c>
      <c r="H7" s="7" t="s">
        <v>87</v>
      </c>
    </row>
    <row r="8" spans="1:13" x14ac:dyDescent="0.35">
      <c r="G8" s="7" t="s">
        <v>88</v>
      </c>
      <c r="H8" s="7" t="s">
        <v>89</v>
      </c>
    </row>
    <row r="9" spans="1:13" x14ac:dyDescent="0.35">
      <c r="G9" s="7" t="s">
        <v>90</v>
      </c>
    </row>
    <row r="10" spans="1:13" x14ac:dyDescent="0.35">
      <c r="G10" s="7" t="s">
        <v>91</v>
      </c>
    </row>
  </sheetData>
  <pageMargins left="0.7" right="0.7" top="0.75" bottom="0.75" header="0.3" footer="0.3"/>
  <tableParts count="12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9DF15-0B0F-4C5F-B52B-9B83807A5FDB}">
  <sheetPr>
    <tabColor rgb="FFC00000"/>
  </sheetPr>
  <dimension ref="A1"/>
  <sheetViews>
    <sheetView rightToLeft="1" workbookViewId="0"/>
  </sheetViews>
  <sheetFormatPr defaultRowHeight="13.8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DA0DA-DA29-4090-A360-B6F3F260684F}">
  <sheetPr>
    <tabColor rgb="FFC00000"/>
  </sheetPr>
  <dimension ref="A1"/>
  <sheetViews>
    <sheetView rightToLeft="1" workbookViewId="0"/>
  </sheetViews>
  <sheetFormatPr defaultRowHeight="13.8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Purchases</vt:lpstr>
      <vt:lpstr>Purchase Register</vt:lpstr>
      <vt:lpstr>Price History</vt:lpstr>
      <vt:lpstr>Payments</vt:lpstr>
      <vt:lpstr>Suppliers</vt:lpstr>
      <vt:lpstr>Projects</vt:lpstr>
      <vt:lpstr>Items</vt:lpstr>
      <vt:lpstr>Customers</vt:lpstr>
      <vt:lpstr>Dashboard</vt:lpstr>
      <vt:lpstr>Settings</vt:lpstr>
      <vt:lpstr>Purchase Requests</vt:lpstr>
      <vt:lpstr>Purchase Requests Register</vt:lpstr>
      <vt:lpstr>lst_Currency</vt:lpstr>
      <vt:lpstr>lst_CustomerNames</vt:lpstr>
      <vt:lpstr>lst_DeliveryStatus</vt:lpstr>
      <vt:lpstr>lst_Governorates</vt:lpstr>
      <vt:lpstr>lst_PaymentMethod</vt:lpstr>
      <vt:lpstr>lst_Priority</vt:lpstr>
      <vt:lpstr>lst_ProjectStatus</vt:lpstr>
      <vt:lpstr>lst_PurchaseStatus</vt:lpstr>
      <vt:lpstr>lst_PurchaseType</vt:lpstr>
      <vt:lpstr>lst_RecordStatus</vt:lpstr>
      <vt:lpstr>lst_SupplierCategory</vt:lpstr>
      <vt:lpstr>lst_SupplierNames</vt:lpstr>
      <vt:lpstr>lst_Units</vt:lpstr>
      <vt:lpstr>lst_VAT</vt:lpstr>
      <vt:lpstr>PaymentMethods</vt:lpstr>
      <vt:lpstr>Customers!Print_Area</vt:lpstr>
      <vt:lpstr>Items!Print_Area</vt:lpstr>
      <vt:lpstr>'Price History'!Print_Area</vt:lpstr>
      <vt:lpstr>Projects!Print_Area</vt:lpstr>
      <vt:lpstr>Purchases!Print_Area</vt:lpstr>
      <vt:lpstr>Suppliers!Print_Area</vt:lpstr>
      <vt:lpstr>PurchaseIDs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2024-09-09T18:05:35Z</dcterms:created>
  <dcterms:modified xsi:type="dcterms:W3CDTF">2026-07-22T14:48:35Z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